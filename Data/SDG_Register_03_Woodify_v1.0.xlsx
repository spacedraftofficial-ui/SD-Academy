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Level_Matrix" sheetId="3" state="visible" r:id="rId3"/>
    <sheet xmlns:r="http://schemas.openxmlformats.org/officeDocument/2006/relationships" name="Level_Guide" sheetId="4" state="visible" r:id="rId4"/>
    <sheet xmlns:r="http://schemas.openxmlformats.org/officeDocument/2006/relationships" name="Upload_Checklist" sheetId="5" state="visible" r:id="rId5"/>
    <sheet xmlns:r="http://schemas.openxmlformats.org/officeDocument/2006/relationships" name="Access_Matrix" sheetId="6" state="visible" r:id="rId6"/>
    <sheet xmlns:r="http://schemas.openxmlformats.org/officeDocument/2006/relationships" name="Status_Flow" sheetId="7" state="visible" r:id="rId7"/>
    <sheet xmlns:r="http://schemas.openxmlformats.org/officeDocument/2006/relationships" name="Change_Log" sheetId="8" state="visible" r:id="rId8"/>
    <sheet xmlns:r="http://schemas.openxmlformats.org/officeDocument/2006/relationships" name="Lists" sheetId="9" state="hidden" r:id="rId9"/>
  </sheets>
  <definedNames>
    <definedName name="_xlnm._FilterDatabase" localSheetId="1" hidden="1">'Register'!$A$5:$X$58</definedName>
    <definedName name="_xlnm._FilterDatabase" localSheetId="2" hidden="1">'Level_Matrix'!$A$5:$L$58</definedName>
    <definedName name="_xlnm._FilterDatabase" localSheetId="4" hidden="1">'Upload_Checklist'!$A$18:$S$71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C0392B"/>
      <sz val="12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C0392B"/>
      <sz val="9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1F3864"/>
      <sz val="10"/>
    </font>
    <font>
      <name val="Calibri"/>
      <b val="1"/>
      <sz val="10"/>
    </font>
    <font>
      <name val="Calibri"/>
      <b val="1"/>
      <color rgb="001E6B34"/>
      <sz val="9"/>
    </font>
    <font>
      <name val="Calibri"/>
      <color rgb="00BBBBBB"/>
      <sz val="9"/>
    </font>
    <font>
      <name val="Calibri"/>
      <b val="1"/>
      <sz val="9"/>
    </font>
    <font>
      <name val="Calibri"/>
      <b val="1"/>
      <color rgb="001E6B34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EF3F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395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164" fontId="5" fillId="4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top" wrapText="1"/>
    </xf>
    <xf numFmtId="0" fontId="8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top"/>
    </xf>
    <xf numFmtId="0" fontId="13" fillId="5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top"/>
    </xf>
    <xf numFmtId="0" fontId="9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WOODIFY - GOVERNANCE DASHBOARD</t>
        </is>
      </c>
    </row>
    <row r="3">
      <c r="A3" s="3" t="inlineStr">
        <is>
          <t>All figures are live formulas reading the Register tab.</t>
        </is>
      </c>
    </row>
    <row r="5">
      <c r="A5" s="4" t="inlineStr">
        <is>
          <t>GOVERNANCE SUMMARY</t>
        </is>
      </c>
    </row>
    <row r="6">
      <c r="A6" s="5" t="inlineStr">
        <is>
          <t>Metric</t>
        </is>
      </c>
      <c r="B6" s="5" t="inlineStr">
        <is>
          <t>Value</t>
        </is>
      </c>
    </row>
    <row r="7">
      <c r="A7" s="6" t="inlineStr">
        <is>
          <t>Total books</t>
        </is>
      </c>
      <c r="B7" s="7">
        <f>COUNTA(Register!$A$6:$A$58)</f>
        <v/>
      </c>
    </row>
    <row r="8">
      <c r="A8" s="6" t="inlineStr">
        <is>
          <t>Books requiring HR review</t>
        </is>
      </c>
      <c r="B8" s="7">
        <f>COUNTIF(Register!$I$6:$I$58,"Yes")</f>
        <v/>
      </c>
    </row>
    <row r="9">
      <c r="A9" s="6" t="inlineStr">
        <is>
          <t>Books requiring legal review (legal-sensitive)</t>
        </is>
      </c>
      <c r="B9" s="7">
        <f>COUNTIF(Register!$J$6:$J$58,"Yes")</f>
        <v/>
      </c>
    </row>
    <row r="10">
      <c r="A10" s="6" t="inlineStr">
        <is>
          <t>Books requiring management approval</t>
        </is>
      </c>
      <c r="B10" s="7">
        <f>COUNTIF(Register!$K$6:$K$58,"Yes")</f>
        <v/>
      </c>
    </row>
    <row r="11">
      <c r="A11" s="6" t="inlineStr">
        <is>
          <t>Books requiring employee acknowledgement</t>
        </is>
      </c>
      <c r="B11" s="7">
        <f>COUNTIF(Register!$L$6:$L$58,"Yes")</f>
        <v/>
      </c>
    </row>
    <row r="12">
      <c r="A12" s="6" t="inlineStr">
        <is>
          <t>Books requiring quiz / assessment</t>
        </is>
      </c>
      <c r="B12" s="7">
        <f>COUNTIF(Register!$M$6:$M$58,"Yes")</f>
        <v/>
      </c>
    </row>
    <row r="14">
      <c r="A14" s="4" t="inlineStr">
        <is>
          <t>PRODUCTION STATUS</t>
        </is>
      </c>
    </row>
    <row r="15">
      <c r="A15" s="5" t="inlineStr">
        <is>
          <t>Status</t>
        </is>
      </c>
      <c r="B15" s="5" t="inlineStr">
        <is>
          <t>Books</t>
        </is>
      </c>
    </row>
    <row r="16">
      <c r="A16" s="6" t="inlineStr">
        <is>
          <t>Not Started</t>
        </is>
      </c>
      <c r="B16" s="8">
        <f>COUNTIF(Register!$S$6:$S$58,"Not Started")</f>
        <v/>
      </c>
    </row>
    <row r="17">
      <c r="A17" s="6" t="inlineStr">
        <is>
          <t>Draft Content Created</t>
        </is>
      </c>
      <c r="B17" s="8">
        <f>COUNTIF(Register!$S$6:$S$58,"Draft Content Created")</f>
        <v/>
      </c>
    </row>
    <row r="18">
      <c r="A18" s="6" t="inlineStr">
        <is>
          <t>HR Review Pending</t>
        </is>
      </c>
      <c r="B18" s="8">
        <f>COUNTIF(Register!$S$6:$S$58,"HR Review Pending")</f>
        <v/>
      </c>
    </row>
    <row r="19">
      <c r="A19" s="6" t="inlineStr">
        <is>
          <t>HR Approved</t>
        </is>
      </c>
      <c r="B19" s="8">
        <f>COUNTIF(Register!$S$6:$S$58,"HR Approved")</f>
        <v/>
      </c>
    </row>
    <row r="20">
      <c r="A20" s="6" t="inlineStr">
        <is>
          <t>Legal Review Pending</t>
        </is>
      </c>
      <c r="B20" s="8">
        <f>COUNTIF(Register!$S$6:$S$58,"Legal Review Pending")</f>
        <v/>
      </c>
    </row>
    <row r="21">
      <c r="A21" s="6" t="inlineStr">
        <is>
          <t>Legal Approved</t>
        </is>
      </c>
      <c r="B21" s="8">
        <f>COUNTIF(Register!$S$6:$S$58,"Legal Approved")</f>
        <v/>
      </c>
    </row>
    <row r="22">
      <c r="A22" s="6" t="inlineStr">
        <is>
          <t>Management Review Pending</t>
        </is>
      </c>
      <c r="B22" s="8">
        <f>COUNTIF(Register!$S$6:$S$58,"Management Review Pending")</f>
        <v/>
      </c>
    </row>
    <row r="23">
      <c r="A23" s="6" t="inlineStr">
        <is>
          <t>Management Approved</t>
        </is>
      </c>
      <c r="B23" s="8">
        <f>COUNTIF(Register!$S$6:$S$58,"Management Approved")</f>
        <v/>
      </c>
    </row>
    <row r="24">
      <c r="A24" s="6" t="inlineStr">
        <is>
          <t>PDF Designed</t>
        </is>
      </c>
      <c r="B24" s="8">
        <f>COUNTIF(Register!$S$6:$S$58,"PDF Designed")</f>
        <v/>
      </c>
    </row>
    <row r="25">
      <c r="A25" s="6" t="inlineStr">
        <is>
          <t>PDF Final Checked</t>
        </is>
      </c>
      <c r="B25" s="8">
        <f>COUNTIF(Register!$S$6:$S$58,"PDF Final Checked")</f>
        <v/>
      </c>
    </row>
    <row r="26">
      <c r="A26" s="6" t="inlineStr">
        <is>
          <t>Uploaded to SD Academy</t>
        </is>
      </c>
      <c r="B26" s="8">
        <f>COUNTIF(Register!$S$6:$S$58,"Uploaded to SD Academy")</f>
        <v/>
      </c>
    </row>
    <row r="27">
      <c r="A27" s="6" t="inlineStr">
        <is>
          <t>Access Tagged</t>
        </is>
      </c>
      <c r="B27" s="8">
        <f>COUNTIF(Register!$S$6:$S$58,"Access Tagged")</f>
        <v/>
      </c>
    </row>
    <row r="28">
      <c r="A28" s="6" t="inlineStr">
        <is>
          <t>Acknowledgement Campaign Live</t>
        </is>
      </c>
      <c r="B28" s="8">
        <f>COUNTIF(Register!$S$6:$S$58,"Acknowledgement Campaign Live")</f>
        <v/>
      </c>
    </row>
    <row r="29">
      <c r="A29" s="6" t="inlineStr">
        <is>
          <t>Employee Acknowledgement Completed</t>
        </is>
      </c>
      <c r="B29" s="8">
        <f>COUNTIF(Register!$S$6:$S$58,"Employee Acknowledgement Completed")</f>
        <v/>
      </c>
    </row>
    <row r="30">
      <c r="A30" s="6" t="inlineStr">
        <is>
          <t>Archived / Superseded</t>
        </is>
      </c>
      <c r="B30" s="8">
        <f>COUNTIF(Register!$S$6:$S$58,"Archived / Superseded")</f>
        <v/>
      </c>
    </row>
    <row r="32">
      <c r="A32" s="4" t="inlineStr">
        <is>
          <t>ACCESS LEVEL SPREAD</t>
        </is>
      </c>
    </row>
    <row r="33">
      <c r="A33" s="5" t="inlineStr">
        <is>
          <t>Access band</t>
        </is>
      </c>
      <c r="B33" s="5" t="inlineStr">
        <is>
          <t>Books</t>
        </is>
      </c>
    </row>
    <row r="34">
      <c r="A34" s="6" t="inlineStr">
        <is>
          <t>L1-L5</t>
        </is>
      </c>
      <c r="B34" s="8">
        <f>COUNTIF(Register!$F$6:$F$58,"L1-L5")</f>
        <v/>
      </c>
    </row>
    <row r="35">
      <c r="A35" s="6" t="inlineStr">
        <is>
          <t>L2-L5</t>
        </is>
      </c>
      <c r="B35" s="8">
        <f>COUNTIF(Register!$F$6:$F$58,"L2-L5")</f>
        <v/>
      </c>
    </row>
    <row r="36">
      <c r="A36" s="6" t="inlineStr">
        <is>
          <t>L3-L5</t>
        </is>
      </c>
      <c r="B36" s="8">
        <f>COUNTIF(Register!$F$6:$F$58,"L3-L5")</f>
        <v/>
      </c>
    </row>
    <row r="37">
      <c r="A37" s="6" t="inlineStr">
        <is>
          <t>L4-L5</t>
        </is>
      </c>
      <c r="B37" s="8">
        <f>COUNTIF(Register!$F$6:$F$58,"L4-L5")</f>
        <v/>
      </c>
    </row>
    <row r="38">
      <c r="A38" s="6" t="inlineStr">
        <is>
          <t>L5</t>
        </is>
      </c>
      <c r="B38" s="8">
        <f>COUNTIF(Register!$F$6:$F$58,"L5")</f>
        <v/>
      </c>
    </row>
    <row r="40">
      <c r="A40" s="4" t="inlineStr">
        <is>
          <t>WEBSITE UPLOAD PROGRESS</t>
        </is>
      </c>
    </row>
    <row r="41">
      <c r="A41" s="5" t="inlineStr">
        <is>
          <t>Upload step</t>
        </is>
      </c>
      <c r="B41" s="5" t="inlineStr">
        <is>
          <t>Done</t>
        </is>
      </c>
    </row>
    <row r="42">
      <c r="A42" s="6" t="inlineStr">
        <is>
          <t>1. File Uploaded</t>
        </is>
      </c>
      <c r="B42" s="8">
        <f>COUNTIF(Upload_Checklist!$J$19:$J$71,"Done")&amp;" / 53"</f>
        <v/>
      </c>
    </row>
    <row r="43">
      <c r="A43" s="6" t="inlineStr">
        <is>
          <t>2. Folder Path Verified</t>
        </is>
      </c>
      <c r="B43" s="8">
        <f>COUNTIF(Upload_Checklist!$K$19:$K$71,"Done")&amp;" / 53"</f>
        <v/>
      </c>
    </row>
    <row r="44">
      <c r="A44" s="6" t="inlineStr">
        <is>
          <t>3. Access Tags Applied</t>
        </is>
      </c>
      <c r="B44" s="8">
        <f>COUNTIF(Upload_Checklist!$L$19:$L$71,"Done")&amp;" / 53"</f>
        <v/>
      </c>
    </row>
    <row r="45">
      <c r="A45" s="6" t="inlineStr">
        <is>
          <t>4. Course Linked</t>
        </is>
      </c>
      <c r="B45" s="8">
        <f>COUNTIF(Upload_Checklist!$M$19:$M$71,"Done")&amp;" / 53"</f>
        <v/>
      </c>
    </row>
    <row r="46">
      <c r="A46" s="6" t="inlineStr">
        <is>
          <t>5. Quiz Attached</t>
        </is>
      </c>
      <c r="B46" s="8">
        <f>COUNTIF(Upload_Checklist!$N$19:$N$71,"Done")&amp;" / 53"</f>
        <v/>
      </c>
    </row>
    <row r="47">
      <c r="A47" s="6" t="inlineStr">
        <is>
          <t>6. Live Link Tested</t>
        </is>
      </c>
      <c r="B47" s="8">
        <f>COUNTIF(Upload_Checklist!$O$19:$O$71,"Done")&amp;" / 53"</f>
        <v/>
      </c>
    </row>
    <row r="48">
      <c r="A48" s="6" t="inlineStr">
        <is>
          <t>7. Ack Campaign Pushed</t>
        </is>
      </c>
      <c r="B48" s="8">
        <f>COUNTIF(Upload_Checklist!$P$19:$P$71,"Done")&amp;" / 53"</f>
        <v/>
      </c>
    </row>
    <row r="50">
      <c r="A50" s="4" t="inlineStr">
        <is>
          <t>BOOKS BY CATEGORY</t>
        </is>
      </c>
    </row>
    <row r="51">
      <c r="A51" s="5" t="inlineStr">
        <is>
          <t>Category</t>
        </is>
      </c>
      <c r="B51" s="5" t="inlineStr">
        <is>
          <t>Books</t>
        </is>
      </c>
    </row>
    <row r="52">
      <c r="A52" s="6" t="inlineStr">
        <is>
          <t>Company / Division Handbook</t>
        </is>
      </c>
      <c r="B52" s="8">
        <f>COUNTIF(Register!$E$6:$E$58,"Company / Division Handbook")</f>
        <v/>
      </c>
    </row>
    <row r="53">
      <c r="A53" s="6" t="inlineStr">
        <is>
          <t>Department Handbook</t>
        </is>
      </c>
      <c r="B53" s="8">
        <f>COUNTIF(Register!$E$6:$E$58,"Department Handbook")</f>
        <v/>
      </c>
    </row>
    <row r="54">
      <c r="A54" s="6" t="inlineStr">
        <is>
          <t>Leadership Handbook</t>
        </is>
      </c>
      <c r="B54" s="8">
        <f>COUNTIF(Register!$E$6:$E$58,"Leadership Handbook")</f>
        <v/>
      </c>
    </row>
    <row r="55">
      <c r="A55" s="6" t="inlineStr">
        <is>
          <t>Management Handbook</t>
        </is>
      </c>
      <c r="B55" s="8">
        <f>COUNTIF(Register!$E$6:$E$58,"Management Handbook")</f>
        <v/>
      </c>
    </row>
    <row r="56">
      <c r="A56" s="6" t="inlineStr">
        <is>
          <t>SOP Handbook</t>
        </is>
      </c>
      <c r="B56" s="8">
        <f>COUNTIF(Register!$E$6:$E$58,"SOP Handbook")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4" customWidth="1" min="7" max="7"/>
    <col width="20" customWidth="1" min="8" max="8"/>
    <col width="11" customWidth="1" min="9" max="9"/>
    <col width="11" customWidth="1" min="10" max="10"/>
    <col width="12" customWidth="1" min="11" max="11"/>
    <col width="12" customWidth="1" min="12" max="12"/>
    <col width="11" customWidth="1" min="13" max="13"/>
    <col width="10" customWidth="1" min="14" max="14"/>
    <col width="22" customWidth="1" min="15" max="15"/>
    <col width="38" customWidth="1" min="16" max="16"/>
    <col width="52" customWidth="1" min="17" max="17"/>
    <col width="10" customWidth="1" min="18" max="18"/>
    <col width="22" customWidth="1" min="19" max="19"/>
    <col width="10" customWidth="1" min="20" max="20"/>
    <col width="13" customWidth="1" min="21" max="21"/>
    <col width="14" customWidth="1" min="22" max="22"/>
    <col width="16" customWidth="1" min="23" max="23"/>
    <col width="34" customWidth="1" min="24" max="24"/>
  </cols>
  <sheetData>
    <row r="1">
      <c r="A1" s="1" t="inlineStr">
        <is>
          <t>SD GROUP - EMPLOYEE HANDBOOK REGISTER</t>
        </is>
      </c>
    </row>
    <row r="2">
      <c r="A2" s="2" t="inlineStr">
        <is>
          <t>WOODIFY - HANDBOOK REGISTER (53 books)</t>
        </is>
      </c>
    </row>
    <row r="3">
      <c r="A3" s="3" t="inlineStr">
        <is>
          <t>Standalone company register. Source of truth for this entity. Update Current Status here; the Dashboard recalculates automatically.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Employee Level Access</t>
        </is>
      </c>
      <c r="G5" s="5" t="inlineStr">
        <is>
          <t>Confidentiality Level</t>
        </is>
      </c>
      <c r="H5" s="5" t="inlineStr">
        <is>
          <t>Book Owner</t>
        </is>
      </c>
      <c r="I5" s="5" t="inlineStr">
        <is>
          <t>HR Review Required</t>
        </is>
      </c>
      <c r="J5" s="5" t="inlineStr">
        <is>
          <t>Legal Review Required</t>
        </is>
      </c>
      <c r="K5" s="5" t="inlineStr">
        <is>
          <t>Management Approval Required</t>
        </is>
      </c>
      <c r="L5" s="5" t="inlineStr">
        <is>
          <t>Employee Acknowledgement Required</t>
        </is>
      </c>
      <c r="M5" s="5" t="inlineStr">
        <is>
          <t>Quiz / Assessment Required</t>
        </is>
      </c>
      <c r="N5" s="5" t="inlineStr">
        <is>
          <t>Passing Score</t>
        </is>
      </c>
      <c r="O5" s="5" t="inlineStr">
        <is>
          <t>Related SD Academy Course ID</t>
        </is>
      </c>
      <c r="P5" s="5" t="inlineStr">
        <is>
          <t>SD Academy Folder Path</t>
        </is>
      </c>
      <c r="Q5" s="5" t="inlineStr">
        <is>
          <t>PDF File Name</t>
        </is>
      </c>
      <c r="R5" s="5" t="inlineStr">
        <is>
          <t>Version Number</t>
        </is>
      </c>
      <c r="S5" s="5" t="inlineStr">
        <is>
          <t>Current Status</t>
        </is>
      </c>
      <c r="T5" s="5" t="inlineStr">
        <is>
          <t>Priority</t>
        </is>
      </c>
      <c r="U5" s="5" t="inlineStr">
        <is>
          <t>Production Wave</t>
        </is>
      </c>
      <c r="V5" s="5" t="inlineStr">
        <is>
          <t>Review Frequency</t>
        </is>
      </c>
      <c r="W5" s="5" t="inlineStr">
        <is>
          <t>Next Review Due Date</t>
        </is>
      </c>
      <c r="X5" s="5" t="inlineStr">
        <is>
          <t>Remarks / Gap Notes</t>
        </is>
      </c>
    </row>
    <row r="6">
      <c r="A6" s="9" t="inlineStr">
        <is>
          <t>TSK-BRD-01</t>
        </is>
      </c>
      <c r="B6" s="10" t="inlineStr">
        <is>
          <t>Taskon Brand Handbook</t>
        </is>
      </c>
      <c r="C6" s="9" t="inlineStr">
        <is>
          <t>Taskon</t>
        </is>
      </c>
      <c r="D6" s="9" t="inlineStr">
        <is>
          <t>Division-wide</t>
        </is>
      </c>
      <c r="E6" s="9" t="inlineStr">
        <is>
          <t>Company / Division Handbook</t>
        </is>
      </c>
      <c r="F6" s="11" t="inlineStr">
        <is>
          <t>L1-L5</t>
        </is>
      </c>
      <c r="G6" s="9" t="inlineStr">
        <is>
          <t>Internal</t>
        </is>
      </c>
      <c r="H6" s="9" t="inlineStr">
        <is>
          <t>HRBP - Woodify India Pvt Ltd</t>
        </is>
      </c>
      <c r="I6" s="11" t="inlineStr">
        <is>
          <t>Yes</t>
        </is>
      </c>
      <c r="J6" s="12" t="inlineStr">
        <is>
          <t>Yes</t>
        </is>
      </c>
      <c r="K6" s="11" t="inlineStr">
        <is>
          <t>Yes</t>
        </is>
      </c>
      <c r="L6" s="11" t="inlineStr">
        <is>
          <t>Yes</t>
        </is>
      </c>
      <c r="M6" s="11" t="inlineStr">
        <is>
          <t>No</t>
        </is>
      </c>
      <c r="N6" s="11" t="inlineStr">
        <is>
          <t>-</t>
        </is>
      </c>
      <c r="O6" s="9" t="inlineStr">
        <is>
          <t>SDA-CRS-TSK-BRD-01</t>
        </is>
      </c>
      <c r="P6" s="10" t="inlineStr">
        <is>
          <t>SD Academy/03_Woodify/02_Brand_Division_Handbooks</t>
        </is>
      </c>
      <c r="Q6" s="10" t="inlineStr">
        <is>
          <t>SDG_Woodify_Taskon_Brand_Handbook_L1-L5_V1.0.pdf</t>
        </is>
      </c>
      <c r="R6" s="11" t="n">
        <v>1</v>
      </c>
      <c r="S6" s="9" t="inlineStr">
        <is>
          <t>PDF Final Checked</t>
        </is>
      </c>
      <c r="T6" s="11" t="inlineStr">
        <is>
          <t>High</t>
        </is>
      </c>
      <c r="U6" s="11" t="inlineStr">
        <is>
          <t>Wave 2</t>
        </is>
      </c>
      <c r="V6" s="9" t="inlineStr">
        <is>
          <t>Annual + on law change</t>
        </is>
      </c>
      <c r="W6" s="13" t="n">
        <v>46478</v>
      </c>
      <c r="X6" s="10" t="inlineStr">
        <is>
          <t>Seating brand under Woodify</t>
        </is>
      </c>
    </row>
    <row r="7">
      <c r="A7" s="14" t="inlineStr">
        <is>
          <t>WFH-BRD-01</t>
        </is>
      </c>
      <c r="B7" s="15" t="inlineStr">
        <is>
          <t>Woodify Homes Division Handbook</t>
        </is>
      </c>
      <c r="C7" s="14" t="inlineStr">
        <is>
          <t>Woodify Homes</t>
        </is>
      </c>
      <c r="D7" s="14" t="inlineStr">
        <is>
          <t>Division-wide</t>
        </is>
      </c>
      <c r="E7" s="14" t="inlineStr">
        <is>
          <t>Company / Division Handbook</t>
        </is>
      </c>
      <c r="F7" s="16" t="inlineStr">
        <is>
          <t>L1-L5</t>
        </is>
      </c>
      <c r="G7" s="14" t="inlineStr">
        <is>
          <t>Internal</t>
        </is>
      </c>
      <c r="H7" s="14" t="inlineStr">
        <is>
          <t>HRBP - Woodify India Pvt Ltd</t>
        </is>
      </c>
      <c r="I7" s="16" t="inlineStr">
        <is>
          <t>Yes</t>
        </is>
      </c>
      <c r="J7" s="12" t="inlineStr">
        <is>
          <t>Yes</t>
        </is>
      </c>
      <c r="K7" s="16" t="inlineStr">
        <is>
          <t>Yes</t>
        </is>
      </c>
      <c r="L7" s="16" t="inlineStr">
        <is>
          <t>Yes</t>
        </is>
      </c>
      <c r="M7" s="16" t="inlineStr">
        <is>
          <t>No</t>
        </is>
      </c>
      <c r="N7" s="16" t="inlineStr">
        <is>
          <t>-</t>
        </is>
      </c>
      <c r="O7" s="14" t="inlineStr">
        <is>
          <t>SDA-CRS-WFH-BRD-01</t>
        </is>
      </c>
      <c r="P7" s="15" t="inlineStr">
        <is>
          <t>SD Academy/03_Woodify/02_Brand_Division_Handbooks</t>
        </is>
      </c>
      <c r="Q7" s="15" t="inlineStr">
        <is>
          <t>SDG_Woodify_WoodifyHomes_Division_Handbook_L1-L5_V1.0.pdf</t>
        </is>
      </c>
      <c r="R7" s="16" t="n">
        <v>1</v>
      </c>
      <c r="S7" s="14" t="inlineStr">
        <is>
          <t>PDF Final Checked</t>
        </is>
      </c>
      <c r="T7" s="16" t="inlineStr">
        <is>
          <t>High</t>
        </is>
      </c>
      <c r="U7" s="16" t="inlineStr">
        <is>
          <t>Wave 2</t>
        </is>
      </c>
      <c r="V7" s="14" t="inlineStr">
        <is>
          <t>Annual + on law change</t>
        </is>
      </c>
      <c r="W7" s="17" t="n">
        <v>46478</v>
      </c>
      <c r="X7" s="15" t="inlineStr">
        <is>
          <t>Was Woodify Homes Company Handbook; division of Woodify India Pvt Ltd</t>
        </is>
      </c>
    </row>
    <row r="8">
      <c r="A8" s="9" t="inlineStr">
        <is>
          <t>WFY-BRD-01</t>
        </is>
      </c>
      <c r="B8" s="10" t="inlineStr">
        <is>
          <t>Woodify Company Handbook</t>
        </is>
      </c>
      <c r="C8" s="9" t="inlineStr">
        <is>
          <t>All Divisions</t>
        </is>
      </c>
      <c r="D8" s="9" t="inlineStr">
        <is>
          <t>Company-wide</t>
        </is>
      </c>
      <c r="E8" s="9" t="inlineStr">
        <is>
          <t>Company / Division Handbook</t>
        </is>
      </c>
      <c r="F8" s="11" t="inlineStr">
        <is>
          <t>L1-L5</t>
        </is>
      </c>
      <c r="G8" s="9" t="inlineStr">
        <is>
          <t>Internal</t>
        </is>
      </c>
      <c r="H8" s="9" t="inlineStr">
        <is>
          <t>HRBP - Woodify India Pvt Ltd</t>
        </is>
      </c>
      <c r="I8" s="11" t="inlineStr">
        <is>
          <t>Yes</t>
        </is>
      </c>
      <c r="J8" s="12" t="inlineStr">
        <is>
          <t>Yes</t>
        </is>
      </c>
      <c r="K8" s="11" t="inlineStr">
        <is>
          <t>Yes</t>
        </is>
      </c>
      <c r="L8" s="11" t="inlineStr">
        <is>
          <t>Yes</t>
        </is>
      </c>
      <c r="M8" s="11" t="inlineStr">
        <is>
          <t>No</t>
        </is>
      </c>
      <c r="N8" s="11" t="inlineStr">
        <is>
          <t>-</t>
        </is>
      </c>
      <c r="O8" s="9" t="inlineStr">
        <is>
          <t>SDA-CRS-WFY-BRD-01</t>
        </is>
      </c>
      <c r="P8" s="10" t="inlineStr">
        <is>
          <t>SD Academy/03_Woodify/01_Company_Handbooks</t>
        </is>
      </c>
      <c r="Q8" s="10" t="inlineStr">
        <is>
          <t>SDG_Woodify_Company_Handbook_L1-L5_V1.0.pdf</t>
        </is>
      </c>
      <c r="R8" s="11" t="n">
        <v>1</v>
      </c>
      <c r="S8" s="9" t="inlineStr">
        <is>
          <t>PDF Final Checked</t>
        </is>
      </c>
      <c r="T8" s="11" t="inlineStr">
        <is>
          <t>High</t>
        </is>
      </c>
      <c r="U8" s="11" t="inlineStr">
        <is>
          <t>Wave 2</t>
        </is>
      </c>
      <c r="V8" s="9" t="inlineStr">
        <is>
          <t>Annual + on law change</t>
        </is>
      </c>
      <c r="W8" s="13" t="n">
        <v>46478</v>
      </c>
      <c r="X8" s="10" t="inlineStr"/>
    </row>
    <row r="9">
      <c r="A9" s="14" t="inlineStr">
        <is>
          <t>TSK-DPT-04</t>
        </is>
      </c>
      <c r="B9" s="15" t="inlineStr">
        <is>
          <t>Taskon Sales &amp; Dealer / Channel Handbook</t>
        </is>
      </c>
      <c r="C9" s="14" t="inlineStr">
        <is>
          <t>Taskon</t>
        </is>
      </c>
      <c r="D9" s="14" t="inlineStr">
        <is>
          <t>Sales</t>
        </is>
      </c>
      <c r="E9" s="14" t="inlineStr">
        <is>
          <t>Department Handbook</t>
        </is>
      </c>
      <c r="F9" s="16" t="inlineStr">
        <is>
          <t>L1-L5</t>
        </is>
      </c>
      <c r="G9" s="14" t="inlineStr">
        <is>
          <t>Internal</t>
        </is>
      </c>
      <c r="H9" s="14" t="inlineStr">
        <is>
          <t>Dept Head - TSK/Sales</t>
        </is>
      </c>
      <c r="I9" s="16" t="inlineStr">
        <is>
          <t>Yes</t>
        </is>
      </c>
      <c r="J9" s="12" t="inlineStr">
        <is>
          <t>Yes</t>
        </is>
      </c>
      <c r="K9" s="16" t="inlineStr">
        <is>
          <t>Yes</t>
        </is>
      </c>
      <c r="L9" s="16" t="inlineStr">
        <is>
          <t>Yes</t>
        </is>
      </c>
      <c r="M9" s="16" t="inlineStr">
        <is>
          <t>No</t>
        </is>
      </c>
      <c r="N9" s="16" t="inlineStr">
        <is>
          <t>-</t>
        </is>
      </c>
      <c r="O9" s="14" t="inlineStr">
        <is>
          <t>SDA-CRS-TSK-DPT-04</t>
        </is>
      </c>
      <c r="P9" s="15" t="inlineStr">
        <is>
          <t>SD Academy/03_Woodify/03_Department_Handbooks</t>
        </is>
      </c>
      <c r="Q9" s="15" t="inlineStr">
        <is>
          <t>SDG_Woodify_Taskon_Sales_Dealer_Channel_Handbook_L1-L5_V1.0.pdf</t>
        </is>
      </c>
      <c r="R9" s="16" t="n">
        <v>1</v>
      </c>
      <c r="S9" s="14" t="inlineStr">
        <is>
          <t>PDF Final Checked</t>
        </is>
      </c>
      <c r="T9" s="16" t="inlineStr">
        <is>
          <t>High</t>
        </is>
      </c>
      <c r="U9" s="16" t="inlineStr">
        <is>
          <t>Wave 3</t>
        </is>
      </c>
      <c r="V9" s="14" t="inlineStr">
        <is>
          <t>Annual + on law change</t>
        </is>
      </c>
      <c r="W9" s="17" t="n">
        <v>46478</v>
      </c>
      <c r="X9" s="15" t="inlineStr"/>
    </row>
    <row r="10">
      <c r="A10" s="9" t="inlineStr">
        <is>
          <t>WFH-DPT-01</t>
        </is>
      </c>
      <c r="B10" s="10" t="inlineStr">
        <is>
          <t>CRM Handbook</t>
        </is>
      </c>
      <c r="C10" s="9" t="inlineStr">
        <is>
          <t>Woodify Homes</t>
        </is>
      </c>
      <c r="D10" s="9" t="inlineStr">
        <is>
          <t>CRM</t>
        </is>
      </c>
      <c r="E10" s="9" t="inlineStr">
        <is>
          <t>Department Handbook</t>
        </is>
      </c>
      <c r="F10" s="11" t="inlineStr">
        <is>
          <t>L1-L5</t>
        </is>
      </c>
      <c r="G10" s="9" t="inlineStr">
        <is>
          <t>Internal</t>
        </is>
      </c>
      <c r="H10" s="9" t="inlineStr">
        <is>
          <t>Dept Head - WFH/CRM</t>
        </is>
      </c>
      <c r="I10" s="11" t="inlineStr">
        <is>
          <t>Yes</t>
        </is>
      </c>
      <c r="J10" s="11" t="inlineStr">
        <is>
          <t>No</t>
        </is>
      </c>
      <c r="K10" s="11" t="inlineStr">
        <is>
          <t>Yes</t>
        </is>
      </c>
      <c r="L10" s="11" t="inlineStr">
        <is>
          <t>Yes</t>
        </is>
      </c>
      <c r="M10" s="11" t="inlineStr">
        <is>
          <t>No</t>
        </is>
      </c>
      <c r="N10" s="11" t="inlineStr">
        <is>
          <t>-</t>
        </is>
      </c>
      <c r="O10" s="9" t="inlineStr">
        <is>
          <t>SDA-CRS-WFH-DPT-01</t>
        </is>
      </c>
      <c r="P10" s="10" t="inlineStr">
        <is>
          <t>SD Academy/03_Woodify/03_Department_Handbooks</t>
        </is>
      </c>
      <c r="Q10" s="10" t="inlineStr">
        <is>
          <t>SDG_Woodify_WoodifyHomes_CRM_Handbook_L1-L5_V1.0.pdf</t>
        </is>
      </c>
      <c r="R10" s="11" t="n">
        <v>1</v>
      </c>
      <c r="S10" s="9" t="inlineStr">
        <is>
          <t>PDF Final Checked</t>
        </is>
      </c>
      <c r="T10" s="11" t="inlineStr">
        <is>
          <t>High</t>
        </is>
      </c>
      <c r="U10" s="11" t="inlineStr">
        <is>
          <t>Wave 3</t>
        </is>
      </c>
      <c r="V10" s="9" t="inlineStr">
        <is>
          <t>Annual</t>
        </is>
      </c>
      <c r="W10" s="13" t="n">
        <v>46478</v>
      </c>
      <c r="X10" s="10" t="inlineStr"/>
    </row>
    <row r="11">
      <c r="A11" s="14" t="inlineStr">
        <is>
          <t>WFH-DPT-02</t>
        </is>
      </c>
      <c r="B11" s="15" t="inlineStr">
        <is>
          <t>Business Development Handbook</t>
        </is>
      </c>
      <c r="C11" s="14" t="inlineStr">
        <is>
          <t>Woodify Homes</t>
        </is>
      </c>
      <c r="D11" s="14" t="inlineStr">
        <is>
          <t>Business Development</t>
        </is>
      </c>
      <c r="E11" s="14" t="inlineStr">
        <is>
          <t>Department Handbook</t>
        </is>
      </c>
      <c r="F11" s="16" t="inlineStr">
        <is>
          <t>L1-L5</t>
        </is>
      </c>
      <c r="G11" s="14" t="inlineStr">
        <is>
          <t>Internal</t>
        </is>
      </c>
      <c r="H11" s="14" t="inlineStr">
        <is>
          <t>Dept Head - WFH/Business Development</t>
        </is>
      </c>
      <c r="I11" s="16" t="inlineStr">
        <is>
          <t>Yes</t>
        </is>
      </c>
      <c r="J11" s="16" t="inlineStr">
        <is>
          <t>No</t>
        </is>
      </c>
      <c r="K11" s="16" t="inlineStr">
        <is>
          <t>Yes</t>
        </is>
      </c>
      <c r="L11" s="16" t="inlineStr">
        <is>
          <t>Yes</t>
        </is>
      </c>
      <c r="M11" s="16" t="inlineStr">
        <is>
          <t>No</t>
        </is>
      </c>
      <c r="N11" s="16" t="inlineStr">
        <is>
          <t>-</t>
        </is>
      </c>
      <c r="O11" s="14" t="inlineStr">
        <is>
          <t>SDA-CRS-WFH-DPT-02</t>
        </is>
      </c>
      <c r="P11" s="15" t="inlineStr">
        <is>
          <t>SD Academy/03_Woodify/03_Department_Handbooks</t>
        </is>
      </c>
      <c r="Q11" s="15" t="inlineStr">
        <is>
          <t>SDG_Woodify_WoodifyHomes_Business_Development_Handbook_L1-L5_V1.0.pdf</t>
        </is>
      </c>
      <c r="R11" s="16" t="n">
        <v>1</v>
      </c>
      <c r="S11" s="14" t="inlineStr">
        <is>
          <t>PDF Final Checked</t>
        </is>
      </c>
      <c r="T11" s="16" t="inlineStr">
        <is>
          <t>High</t>
        </is>
      </c>
      <c r="U11" s="16" t="inlineStr">
        <is>
          <t>Wave 3</t>
        </is>
      </c>
      <c r="V11" s="14" t="inlineStr">
        <is>
          <t>Annual</t>
        </is>
      </c>
      <c r="W11" s="17" t="n">
        <v>46478</v>
      </c>
      <c r="X11" s="15" t="inlineStr"/>
    </row>
    <row r="12">
      <c r="A12" s="9" t="inlineStr">
        <is>
          <t>WFH-DPT-03</t>
        </is>
      </c>
      <c r="B12" s="10" t="inlineStr">
        <is>
          <t>Interior Design Handbook</t>
        </is>
      </c>
      <c r="C12" s="9" t="inlineStr">
        <is>
          <t>Woodify Homes</t>
        </is>
      </c>
      <c r="D12" s="9" t="inlineStr">
        <is>
          <t>Interior Design</t>
        </is>
      </c>
      <c r="E12" s="9" t="inlineStr">
        <is>
          <t>Department Handbook</t>
        </is>
      </c>
      <c r="F12" s="11" t="inlineStr">
        <is>
          <t>L1-L5</t>
        </is>
      </c>
      <c r="G12" s="9" t="inlineStr">
        <is>
          <t>Internal</t>
        </is>
      </c>
      <c r="H12" s="9" t="inlineStr">
        <is>
          <t>Dept Head - WFH/Interior Design</t>
        </is>
      </c>
      <c r="I12" s="11" t="inlineStr">
        <is>
          <t>Yes</t>
        </is>
      </c>
      <c r="J12" s="11" t="inlineStr">
        <is>
          <t>No</t>
        </is>
      </c>
      <c r="K12" s="11" t="inlineStr">
        <is>
          <t>Yes</t>
        </is>
      </c>
      <c r="L12" s="11" t="inlineStr">
        <is>
          <t>Yes</t>
        </is>
      </c>
      <c r="M12" s="11" t="inlineStr">
        <is>
          <t>No</t>
        </is>
      </c>
      <c r="N12" s="11" t="inlineStr">
        <is>
          <t>-</t>
        </is>
      </c>
      <c r="O12" s="9" t="inlineStr">
        <is>
          <t>SDA-CRS-WFH-DPT-03</t>
        </is>
      </c>
      <c r="P12" s="10" t="inlineStr">
        <is>
          <t>SD Academy/03_Woodify/03_Department_Handbooks</t>
        </is>
      </c>
      <c r="Q12" s="10" t="inlineStr">
        <is>
          <t>SDG_Woodify_WoodifyHomes_Interior_Design_Handbook_L1-L5_V1.0.pdf</t>
        </is>
      </c>
      <c r="R12" s="11" t="n">
        <v>1</v>
      </c>
      <c r="S12" s="9" t="inlineStr">
        <is>
          <t>PDF Final Checked</t>
        </is>
      </c>
      <c r="T12" s="11" t="inlineStr">
        <is>
          <t>High</t>
        </is>
      </c>
      <c r="U12" s="11" t="inlineStr">
        <is>
          <t>Wave 3</t>
        </is>
      </c>
      <c r="V12" s="9" t="inlineStr">
        <is>
          <t>Annual</t>
        </is>
      </c>
      <c r="W12" s="13" t="n">
        <v>46478</v>
      </c>
      <c r="X12" s="10" t="inlineStr"/>
    </row>
    <row r="13">
      <c r="A13" s="14" t="inlineStr">
        <is>
          <t>WFH-DPT-04</t>
        </is>
      </c>
      <c r="B13" s="15" t="inlineStr">
        <is>
          <t>Estimation &amp; Quotation Handbook</t>
        </is>
      </c>
      <c r="C13" s="14" t="inlineStr">
        <is>
          <t>Woodify Homes</t>
        </is>
      </c>
      <c r="D13" s="14" t="inlineStr">
        <is>
          <t>Estimation</t>
        </is>
      </c>
      <c r="E13" s="14" t="inlineStr">
        <is>
          <t>Department Handbook</t>
        </is>
      </c>
      <c r="F13" s="16" t="inlineStr">
        <is>
          <t>L2-L5</t>
        </is>
      </c>
      <c r="G13" s="14" t="inlineStr">
        <is>
          <t>Internal</t>
        </is>
      </c>
      <c r="H13" s="14" t="inlineStr">
        <is>
          <t>Dept Head - WFH/Estimation</t>
        </is>
      </c>
      <c r="I13" s="16" t="inlineStr">
        <is>
          <t>Yes</t>
        </is>
      </c>
      <c r="J13" s="16" t="inlineStr">
        <is>
          <t>No</t>
        </is>
      </c>
      <c r="K13" s="16" t="inlineStr">
        <is>
          <t>Yes</t>
        </is>
      </c>
      <c r="L13" s="16" t="inlineStr">
        <is>
          <t>Yes</t>
        </is>
      </c>
      <c r="M13" s="16" t="inlineStr">
        <is>
          <t>No</t>
        </is>
      </c>
      <c r="N13" s="16" t="inlineStr">
        <is>
          <t>-</t>
        </is>
      </c>
      <c r="O13" s="14" t="inlineStr">
        <is>
          <t>SDA-CRS-WFH-DPT-04</t>
        </is>
      </c>
      <c r="P13" s="15" t="inlineStr">
        <is>
          <t>SD Academy/03_Woodify/03_Department_Handbooks</t>
        </is>
      </c>
      <c r="Q13" s="15" t="inlineStr">
        <is>
          <t>SDG_Woodify_WoodifyHomes_Estimation_Quotation_Handbook_L2-L5_V1.0.pdf</t>
        </is>
      </c>
      <c r="R13" s="16" t="n">
        <v>1</v>
      </c>
      <c r="S13" s="14" t="inlineStr">
        <is>
          <t>PDF Final Checked</t>
        </is>
      </c>
      <c r="T13" s="16" t="inlineStr">
        <is>
          <t>High</t>
        </is>
      </c>
      <c r="U13" s="16" t="inlineStr">
        <is>
          <t>Wave 3</t>
        </is>
      </c>
      <c r="V13" s="14" t="inlineStr">
        <is>
          <t>Annual</t>
        </is>
      </c>
      <c r="W13" s="17" t="n">
        <v>46478</v>
      </c>
      <c r="X13" s="15" t="inlineStr"/>
    </row>
    <row r="14">
      <c r="A14" s="9" t="inlineStr">
        <is>
          <t>WFY-DPT-01</t>
        </is>
      </c>
      <c r="B14" s="10" t="inlineStr">
        <is>
          <t>CRM Handbook</t>
        </is>
      </c>
      <c r="C14" s="9" t="inlineStr">
        <is>
          <t>Woodify Office Furniture</t>
        </is>
      </c>
      <c r="D14" s="9" t="inlineStr">
        <is>
          <t>CRM</t>
        </is>
      </c>
      <c r="E14" s="9" t="inlineStr">
        <is>
          <t>Department Handbook</t>
        </is>
      </c>
      <c r="F14" s="11" t="inlineStr">
        <is>
          <t>L1-L5</t>
        </is>
      </c>
      <c r="G14" s="9" t="inlineStr">
        <is>
          <t>Internal</t>
        </is>
      </c>
      <c r="H14" s="9" t="inlineStr">
        <is>
          <t>Dept Head - WFY/CRM</t>
        </is>
      </c>
      <c r="I14" s="11" t="inlineStr">
        <is>
          <t>Yes</t>
        </is>
      </c>
      <c r="J14" s="11" t="inlineStr">
        <is>
          <t>No</t>
        </is>
      </c>
      <c r="K14" s="11" t="inlineStr">
        <is>
          <t>Yes</t>
        </is>
      </c>
      <c r="L14" s="11" t="inlineStr">
        <is>
          <t>Yes</t>
        </is>
      </c>
      <c r="M14" s="11" t="inlineStr">
        <is>
          <t>No</t>
        </is>
      </c>
      <c r="N14" s="11" t="inlineStr">
        <is>
          <t>-</t>
        </is>
      </c>
      <c r="O14" s="9" t="inlineStr">
        <is>
          <t>SDA-CRS-WFY-DPT-01</t>
        </is>
      </c>
      <c r="P14" s="10" t="inlineStr">
        <is>
          <t>SD Academy/03_Woodify/03_Department_Handbooks</t>
        </is>
      </c>
      <c r="Q14" s="10" t="inlineStr">
        <is>
          <t>SDG_Woodify_CRM_Handbook_L1-L5_V1.0.pdf</t>
        </is>
      </c>
      <c r="R14" s="11" t="n">
        <v>1</v>
      </c>
      <c r="S14" s="9" t="inlineStr">
        <is>
          <t>PDF Final Checked</t>
        </is>
      </c>
      <c r="T14" s="11" t="inlineStr">
        <is>
          <t>High</t>
        </is>
      </c>
      <c r="U14" s="11" t="inlineStr">
        <is>
          <t>Wave 3</t>
        </is>
      </c>
      <c r="V14" s="9" t="inlineStr">
        <is>
          <t>Annual</t>
        </is>
      </c>
      <c r="W14" s="13" t="n">
        <v>46478</v>
      </c>
      <c r="X14" s="10" t="inlineStr"/>
    </row>
    <row r="15">
      <c r="A15" s="14" t="inlineStr">
        <is>
          <t>WFY-DPT-02</t>
        </is>
      </c>
      <c r="B15" s="15" t="inlineStr">
        <is>
          <t>Business Development Handbook</t>
        </is>
      </c>
      <c r="C15" s="14" t="inlineStr">
        <is>
          <t>Woodify Office Furniture</t>
        </is>
      </c>
      <c r="D15" s="14" t="inlineStr">
        <is>
          <t>Business Development</t>
        </is>
      </c>
      <c r="E15" s="14" t="inlineStr">
        <is>
          <t>Department Handbook</t>
        </is>
      </c>
      <c r="F15" s="16" t="inlineStr">
        <is>
          <t>L1-L5</t>
        </is>
      </c>
      <c r="G15" s="14" t="inlineStr">
        <is>
          <t>Internal</t>
        </is>
      </c>
      <c r="H15" s="14" t="inlineStr">
        <is>
          <t>Dept Head - WFY/Business Development</t>
        </is>
      </c>
      <c r="I15" s="16" t="inlineStr">
        <is>
          <t>Yes</t>
        </is>
      </c>
      <c r="J15" s="16" t="inlineStr">
        <is>
          <t>No</t>
        </is>
      </c>
      <c r="K15" s="16" t="inlineStr">
        <is>
          <t>Yes</t>
        </is>
      </c>
      <c r="L15" s="16" t="inlineStr">
        <is>
          <t>Yes</t>
        </is>
      </c>
      <c r="M15" s="16" t="inlineStr">
        <is>
          <t>No</t>
        </is>
      </c>
      <c r="N15" s="16" t="inlineStr">
        <is>
          <t>-</t>
        </is>
      </c>
      <c r="O15" s="14" t="inlineStr">
        <is>
          <t>SDA-CRS-WFY-DPT-02</t>
        </is>
      </c>
      <c r="P15" s="15" t="inlineStr">
        <is>
          <t>SD Academy/03_Woodify/03_Department_Handbooks</t>
        </is>
      </c>
      <c r="Q15" s="15" t="inlineStr">
        <is>
          <t>SDG_Woodify_Business_Development_Handbook_L1-L5_V1.0.pdf</t>
        </is>
      </c>
      <c r="R15" s="16" t="n">
        <v>1</v>
      </c>
      <c r="S15" s="14" t="inlineStr">
        <is>
          <t>PDF Final Checked</t>
        </is>
      </c>
      <c r="T15" s="16" t="inlineStr">
        <is>
          <t>High</t>
        </is>
      </c>
      <c r="U15" s="16" t="inlineStr">
        <is>
          <t>Wave 3</t>
        </is>
      </c>
      <c r="V15" s="14" t="inlineStr">
        <is>
          <t>Annual</t>
        </is>
      </c>
      <c r="W15" s="17" t="n">
        <v>46478</v>
      </c>
      <c r="X15" s="15" t="inlineStr"/>
    </row>
    <row r="16">
      <c r="A16" s="9" t="inlineStr">
        <is>
          <t>WFY-DPT-03</t>
        </is>
      </c>
      <c r="B16" s="10" t="inlineStr">
        <is>
          <t>Design &amp; Engineering Handbook</t>
        </is>
      </c>
      <c r="C16" s="9" t="inlineStr">
        <is>
          <t>Woodify Office Furniture</t>
        </is>
      </c>
      <c r="D16" s="9" t="inlineStr">
        <is>
          <t>Design &amp; Engineering</t>
        </is>
      </c>
      <c r="E16" s="9" t="inlineStr">
        <is>
          <t>Department Handbook</t>
        </is>
      </c>
      <c r="F16" s="11" t="inlineStr">
        <is>
          <t>L1-L5</t>
        </is>
      </c>
      <c r="G16" s="9" t="inlineStr">
        <is>
          <t>Internal</t>
        </is>
      </c>
      <c r="H16" s="9" t="inlineStr">
        <is>
          <t>Dept Head - WFY/Design &amp; Engineering</t>
        </is>
      </c>
      <c r="I16" s="11" t="inlineStr">
        <is>
          <t>Yes</t>
        </is>
      </c>
      <c r="J16" s="11" t="inlineStr">
        <is>
          <t>No</t>
        </is>
      </c>
      <c r="K16" s="11" t="inlineStr">
        <is>
          <t>Yes</t>
        </is>
      </c>
      <c r="L16" s="11" t="inlineStr">
        <is>
          <t>Yes</t>
        </is>
      </c>
      <c r="M16" s="11" t="inlineStr">
        <is>
          <t>No</t>
        </is>
      </c>
      <c r="N16" s="11" t="inlineStr">
        <is>
          <t>-</t>
        </is>
      </c>
      <c r="O16" s="9" t="inlineStr">
        <is>
          <t>SDA-CRS-WFY-DPT-03</t>
        </is>
      </c>
      <c r="P16" s="10" t="inlineStr">
        <is>
          <t>SD Academy/03_Woodify/03_Department_Handbooks</t>
        </is>
      </c>
      <c r="Q16" s="10" t="inlineStr">
        <is>
          <t>SDG_Woodify_Design_Engineering_Handbook_L1-L5_V1.0.pdf</t>
        </is>
      </c>
      <c r="R16" s="11" t="n">
        <v>1</v>
      </c>
      <c r="S16" s="9" t="inlineStr">
        <is>
          <t>PDF Final Checked</t>
        </is>
      </c>
      <c r="T16" s="11" t="inlineStr">
        <is>
          <t>High</t>
        </is>
      </c>
      <c r="U16" s="11" t="inlineStr">
        <is>
          <t>Wave 3</t>
        </is>
      </c>
      <c r="V16" s="9" t="inlineStr">
        <is>
          <t>Annual</t>
        </is>
      </c>
      <c r="W16" s="13" t="n">
        <v>46478</v>
      </c>
      <c r="X16" s="10" t="inlineStr"/>
    </row>
    <row r="17">
      <c r="A17" s="14" t="inlineStr">
        <is>
          <t>WFY-SOP-01</t>
        </is>
      </c>
      <c r="B17" s="15" t="inlineStr">
        <is>
          <t>Product Catalogue &amp; Specification Handbook</t>
        </is>
      </c>
      <c r="C17" s="14" t="inlineStr">
        <is>
          <t>Woodify Office Furniture</t>
        </is>
      </c>
      <c r="D17" s="14" t="inlineStr">
        <is>
          <t>Product</t>
        </is>
      </c>
      <c r="E17" s="14" t="inlineStr">
        <is>
          <t>SOP Handbook</t>
        </is>
      </c>
      <c r="F17" s="16" t="inlineStr">
        <is>
          <t>L2-L5</t>
        </is>
      </c>
      <c r="G17" s="14" t="inlineStr">
        <is>
          <t>Internal</t>
        </is>
      </c>
      <c r="H17" s="14" t="inlineStr">
        <is>
          <t>Dept Head - WFY/Product</t>
        </is>
      </c>
      <c r="I17" s="16" t="inlineStr">
        <is>
          <t>Yes</t>
        </is>
      </c>
      <c r="J17" s="16" t="inlineStr">
        <is>
          <t>No</t>
        </is>
      </c>
      <c r="K17" s="16" t="inlineStr">
        <is>
          <t>Yes</t>
        </is>
      </c>
      <c r="L17" s="16" t="inlineStr">
        <is>
          <t>No</t>
        </is>
      </c>
      <c r="M17" s="16" t="inlineStr">
        <is>
          <t>No</t>
        </is>
      </c>
      <c r="N17" s="16" t="inlineStr">
        <is>
          <t>-</t>
        </is>
      </c>
      <c r="O17" s="14" t="inlineStr">
        <is>
          <t>SDA-CRS-WFY-SOP-01</t>
        </is>
      </c>
      <c r="P17" s="15" t="inlineStr">
        <is>
          <t>SD Academy/03_Woodify/04_SOP_Handbooks</t>
        </is>
      </c>
      <c r="Q17" s="15" t="inlineStr">
        <is>
          <t>SDG_Woodify_Product_Catalogue_Specification_Handbook_L2-L5_V1.0.pdf</t>
        </is>
      </c>
      <c r="R17" s="16" t="n">
        <v>1</v>
      </c>
      <c r="S17" s="14" t="inlineStr">
        <is>
          <t>PDF Final Checked</t>
        </is>
      </c>
      <c r="T17" s="16" t="inlineStr">
        <is>
          <t>High</t>
        </is>
      </c>
      <c r="U17" s="16" t="inlineStr">
        <is>
          <t>Wave 3</t>
        </is>
      </c>
      <c r="V17" s="14" t="inlineStr">
        <is>
          <t>Half-yearly</t>
        </is>
      </c>
      <c r="W17" s="17" t="n">
        <v>46388</v>
      </c>
      <c r="X17" s="15" t="inlineStr">
        <is>
          <t>Master specs; applies to all Woodify divisions</t>
        </is>
      </c>
    </row>
    <row r="18">
      <c r="A18" s="9" t="inlineStr">
        <is>
          <t>WFY-SOP-02</t>
        </is>
      </c>
      <c r="B18" s="10" t="inlineStr">
        <is>
          <t>Dealer &amp; Channel Sales Handbook</t>
        </is>
      </c>
      <c r="C18" s="9" t="inlineStr">
        <is>
          <t>Woodify Office Furniture</t>
        </is>
      </c>
      <c r="D18" s="9" t="inlineStr">
        <is>
          <t>Sales</t>
        </is>
      </c>
      <c r="E18" s="9" t="inlineStr">
        <is>
          <t>SOP Handbook</t>
        </is>
      </c>
      <c r="F18" s="11" t="inlineStr">
        <is>
          <t>L2-L5</t>
        </is>
      </c>
      <c r="G18" s="9" t="inlineStr">
        <is>
          <t>Internal</t>
        </is>
      </c>
      <c r="H18" s="9" t="inlineStr">
        <is>
          <t>Dept Head - WFY/Sales</t>
        </is>
      </c>
      <c r="I18" s="11" t="inlineStr">
        <is>
          <t>Yes</t>
        </is>
      </c>
      <c r="J18" s="12" t="inlineStr">
        <is>
          <t>Yes</t>
        </is>
      </c>
      <c r="K18" s="11" t="inlineStr">
        <is>
          <t>Yes</t>
        </is>
      </c>
      <c r="L18" s="11" t="inlineStr">
        <is>
          <t>No</t>
        </is>
      </c>
      <c r="M18" s="11" t="inlineStr">
        <is>
          <t>No</t>
        </is>
      </c>
      <c r="N18" s="11" t="inlineStr">
        <is>
          <t>-</t>
        </is>
      </c>
      <c r="O18" s="9" t="inlineStr">
        <is>
          <t>SDA-CRS-WFY-SOP-02</t>
        </is>
      </c>
      <c r="P18" s="10" t="inlineStr">
        <is>
          <t>SD Academy/03_Woodify/04_SOP_Handbooks</t>
        </is>
      </c>
      <c r="Q18" s="10" t="inlineStr">
        <is>
          <t>SDG_Woodify_Dealer_Channel_Sales_Handbook_L2-L5_V1.0.pdf</t>
        </is>
      </c>
      <c r="R18" s="11" t="n">
        <v>1</v>
      </c>
      <c r="S18" s="9" t="inlineStr">
        <is>
          <t>PDF Final Checked</t>
        </is>
      </c>
      <c r="T18" s="11" t="inlineStr">
        <is>
          <t>High</t>
        </is>
      </c>
      <c r="U18" s="11" t="inlineStr">
        <is>
          <t>Wave 3</t>
        </is>
      </c>
      <c r="V18" s="9" t="inlineStr">
        <is>
          <t>Annual + on law change</t>
        </is>
      </c>
      <c r="W18" s="13" t="n">
        <v>46478</v>
      </c>
      <c r="X18" s="10" t="inlineStr">
        <is>
          <t>Dealer terms and channel conduct</t>
        </is>
      </c>
    </row>
    <row r="19">
      <c r="A19" s="14" t="inlineStr">
        <is>
          <t>WFY-SOP-03</t>
        </is>
      </c>
      <c r="B19" s="15" t="inlineStr">
        <is>
          <t>Product Photography &amp; Catalogue Management Handbook</t>
        </is>
      </c>
      <c r="C19" s="14" t="inlineStr">
        <is>
          <t>Woodify Office Furniture</t>
        </is>
      </c>
      <c r="D19" s="14" t="inlineStr">
        <is>
          <t>Marketing</t>
        </is>
      </c>
      <c r="E19" s="14" t="inlineStr">
        <is>
          <t>SOP Handbook</t>
        </is>
      </c>
      <c r="F19" s="16" t="inlineStr">
        <is>
          <t>L2-L5</t>
        </is>
      </c>
      <c r="G19" s="14" t="inlineStr">
        <is>
          <t>Internal</t>
        </is>
      </c>
      <c r="H19" s="14" t="inlineStr">
        <is>
          <t>Dept Head - WFY/Marketing</t>
        </is>
      </c>
      <c r="I19" s="16" t="inlineStr">
        <is>
          <t>Yes</t>
        </is>
      </c>
      <c r="J19" s="16" t="inlineStr">
        <is>
          <t>No</t>
        </is>
      </c>
      <c r="K19" s="16" t="inlineStr">
        <is>
          <t>Yes</t>
        </is>
      </c>
      <c r="L19" s="16" t="inlineStr">
        <is>
          <t>No</t>
        </is>
      </c>
      <c r="M19" s="16" t="inlineStr">
        <is>
          <t>No</t>
        </is>
      </c>
      <c r="N19" s="16" t="inlineStr">
        <is>
          <t>-</t>
        </is>
      </c>
      <c r="O19" s="14" t="inlineStr">
        <is>
          <t>SDA-CRS-WFY-SOP-03</t>
        </is>
      </c>
      <c r="P19" s="15" t="inlineStr">
        <is>
          <t>SD Academy/03_Woodify/04_SOP_Handbooks</t>
        </is>
      </c>
      <c r="Q19" s="15" t="inlineStr">
        <is>
          <t>SDG_Woodify_Product_Photography_Catalogue_Management_Handbook_L2-L5_V1.0.pdf</t>
        </is>
      </c>
      <c r="R19" s="16" t="n">
        <v>1</v>
      </c>
      <c r="S19" s="14" t="inlineStr">
        <is>
          <t>PDF Final Checked</t>
        </is>
      </c>
      <c r="T19" s="16" t="inlineStr">
        <is>
          <t>High</t>
        </is>
      </c>
      <c r="U19" s="16" t="inlineStr">
        <is>
          <t>Wave 3</t>
        </is>
      </c>
      <c r="V19" s="14" t="inlineStr">
        <is>
          <t>Half-yearly</t>
        </is>
      </c>
      <c r="W19" s="17" t="n">
        <v>46388</v>
      </c>
      <c r="X19" s="15" t="inlineStr"/>
    </row>
    <row r="20">
      <c r="A20" s="9" t="inlineStr">
        <is>
          <t>TSK-DPT-01</t>
        </is>
      </c>
      <c r="B20" s="10" t="inlineStr">
        <is>
          <t>Product Development Handbook</t>
        </is>
      </c>
      <c r="C20" s="9" t="inlineStr">
        <is>
          <t>Taskon</t>
        </is>
      </c>
      <c r="D20" s="9" t="inlineStr">
        <is>
          <t>Product Development</t>
        </is>
      </c>
      <c r="E20" s="9" t="inlineStr">
        <is>
          <t>Department Handbook</t>
        </is>
      </c>
      <c r="F20" s="11" t="inlineStr">
        <is>
          <t>L1-L5</t>
        </is>
      </c>
      <c r="G20" s="9" t="inlineStr">
        <is>
          <t>Internal</t>
        </is>
      </c>
      <c r="H20" s="9" t="inlineStr">
        <is>
          <t>Dept Head - TSK/Product Development</t>
        </is>
      </c>
      <c r="I20" s="11" t="inlineStr">
        <is>
          <t>Yes</t>
        </is>
      </c>
      <c r="J20" s="11" t="inlineStr">
        <is>
          <t>No</t>
        </is>
      </c>
      <c r="K20" s="11" t="inlineStr">
        <is>
          <t>Yes</t>
        </is>
      </c>
      <c r="L20" s="11" t="inlineStr">
        <is>
          <t>Yes</t>
        </is>
      </c>
      <c r="M20" s="11" t="inlineStr">
        <is>
          <t>No</t>
        </is>
      </c>
      <c r="N20" s="11" t="inlineStr">
        <is>
          <t>-</t>
        </is>
      </c>
      <c r="O20" s="9" t="inlineStr">
        <is>
          <t>SDA-CRS-TSK-DPT-01</t>
        </is>
      </c>
      <c r="P20" s="10" t="inlineStr">
        <is>
          <t>SD Academy/03_Woodify/03_Department_Handbooks</t>
        </is>
      </c>
      <c r="Q20" s="10" t="inlineStr">
        <is>
          <t>SDG_Woodify_Taskon_Product_Development_Handbook_L1-L5_V1.0.pdf</t>
        </is>
      </c>
      <c r="R20" s="11" t="n">
        <v>1</v>
      </c>
      <c r="S20" s="9" t="inlineStr">
        <is>
          <t>PDF Final Checked</t>
        </is>
      </c>
      <c r="T20" s="11" t="inlineStr">
        <is>
          <t>Medium</t>
        </is>
      </c>
      <c r="U20" s="11" t="inlineStr">
        <is>
          <t>Wave 4</t>
        </is>
      </c>
      <c r="V20" s="9" t="inlineStr">
        <is>
          <t>Annual</t>
        </is>
      </c>
      <c r="W20" s="13" t="n">
        <v>46478</v>
      </c>
      <c r="X20" s="10" t="inlineStr"/>
    </row>
    <row r="21">
      <c r="A21" s="14" t="inlineStr">
        <is>
          <t>TSK-DPT-02</t>
        </is>
      </c>
      <c r="B21" s="15" t="inlineStr">
        <is>
          <t>Seating Engineering Handbook</t>
        </is>
      </c>
      <c r="C21" s="14" t="inlineStr">
        <is>
          <t>Taskon</t>
        </is>
      </c>
      <c r="D21" s="14" t="inlineStr">
        <is>
          <t>Seating Engineering</t>
        </is>
      </c>
      <c r="E21" s="14" t="inlineStr">
        <is>
          <t>Department Handbook</t>
        </is>
      </c>
      <c r="F21" s="16" t="inlineStr">
        <is>
          <t>L1-L5</t>
        </is>
      </c>
      <c r="G21" s="14" t="inlineStr">
        <is>
          <t>Internal</t>
        </is>
      </c>
      <c r="H21" s="14" t="inlineStr">
        <is>
          <t>Dept Head - TSK/Seating Engineering</t>
        </is>
      </c>
      <c r="I21" s="16" t="inlineStr">
        <is>
          <t>Yes</t>
        </is>
      </c>
      <c r="J21" s="16" t="inlineStr">
        <is>
          <t>No</t>
        </is>
      </c>
      <c r="K21" s="16" t="inlineStr">
        <is>
          <t>Yes</t>
        </is>
      </c>
      <c r="L21" s="16" t="inlineStr">
        <is>
          <t>Yes</t>
        </is>
      </c>
      <c r="M21" s="16" t="inlineStr">
        <is>
          <t>No</t>
        </is>
      </c>
      <c r="N21" s="16" t="inlineStr">
        <is>
          <t>-</t>
        </is>
      </c>
      <c r="O21" s="14" t="inlineStr">
        <is>
          <t>SDA-CRS-TSK-DPT-02</t>
        </is>
      </c>
      <c r="P21" s="15" t="inlineStr">
        <is>
          <t>SD Academy/03_Woodify/03_Department_Handbooks</t>
        </is>
      </c>
      <c r="Q21" s="15" t="inlineStr">
        <is>
          <t>SDG_Woodify_Taskon_Seating_Engineering_Handbook_L1-L5_V1.0.pdf</t>
        </is>
      </c>
      <c r="R21" s="16" t="n">
        <v>1</v>
      </c>
      <c r="S21" s="14" t="inlineStr">
        <is>
          <t>PDF Final Checked</t>
        </is>
      </c>
      <c r="T21" s="16" t="inlineStr">
        <is>
          <t>Medium</t>
        </is>
      </c>
      <c r="U21" s="16" t="inlineStr">
        <is>
          <t>Wave 4</t>
        </is>
      </c>
      <c r="V21" s="14" t="inlineStr">
        <is>
          <t>Annual</t>
        </is>
      </c>
      <c r="W21" s="17" t="n">
        <v>46478</v>
      </c>
      <c r="X21" s="15" t="inlineStr"/>
    </row>
    <row r="22">
      <c r="A22" s="9" t="inlineStr">
        <is>
          <t>TSK-DPT-03</t>
        </is>
      </c>
      <c r="B22" s="10" t="inlineStr">
        <is>
          <t>Testing &amp; Certification Handbook</t>
        </is>
      </c>
      <c r="C22" s="9" t="inlineStr">
        <is>
          <t>Taskon</t>
        </is>
      </c>
      <c r="D22" s="9" t="inlineStr">
        <is>
          <t>Testing &amp; Certification</t>
        </is>
      </c>
      <c r="E22" s="9" t="inlineStr">
        <is>
          <t>Department Handbook</t>
        </is>
      </c>
      <c r="F22" s="11" t="inlineStr">
        <is>
          <t>L1-L5</t>
        </is>
      </c>
      <c r="G22" s="9" t="inlineStr">
        <is>
          <t>Internal</t>
        </is>
      </c>
      <c r="H22" s="9" t="inlineStr">
        <is>
          <t>Dept Head - TSK/Testing &amp; Certification</t>
        </is>
      </c>
      <c r="I22" s="11" t="inlineStr">
        <is>
          <t>Yes</t>
        </is>
      </c>
      <c r="J22" s="11" t="inlineStr">
        <is>
          <t>No</t>
        </is>
      </c>
      <c r="K22" s="11" t="inlineStr">
        <is>
          <t>Yes</t>
        </is>
      </c>
      <c r="L22" s="11" t="inlineStr">
        <is>
          <t>Yes</t>
        </is>
      </c>
      <c r="M22" s="11" t="inlineStr">
        <is>
          <t>No</t>
        </is>
      </c>
      <c r="N22" s="11" t="inlineStr">
        <is>
          <t>-</t>
        </is>
      </c>
      <c r="O22" s="9" t="inlineStr">
        <is>
          <t>SDA-CRS-TSK-DPT-03</t>
        </is>
      </c>
      <c r="P22" s="10" t="inlineStr">
        <is>
          <t>SD Academy/03_Woodify/03_Department_Handbooks</t>
        </is>
      </c>
      <c r="Q22" s="10" t="inlineStr">
        <is>
          <t>SDG_Woodify_Taskon_Testing_Certification_Handbook_L1-L5_V1.0.pdf</t>
        </is>
      </c>
      <c r="R22" s="11" t="n">
        <v>1</v>
      </c>
      <c r="S22" s="9" t="inlineStr">
        <is>
          <t>PDF Final Checked</t>
        </is>
      </c>
      <c r="T22" s="11" t="inlineStr">
        <is>
          <t>Medium</t>
        </is>
      </c>
      <c r="U22" s="11" t="inlineStr">
        <is>
          <t>Wave 4</t>
        </is>
      </c>
      <c r="V22" s="9" t="inlineStr">
        <is>
          <t>Annual</t>
        </is>
      </c>
      <c r="W22" s="13" t="n">
        <v>46478</v>
      </c>
      <c r="X22" s="10" t="inlineStr"/>
    </row>
    <row r="23">
      <c r="A23" s="14" t="inlineStr">
        <is>
          <t>WFH-DPT-05</t>
        </is>
      </c>
      <c r="B23" s="15" t="inlineStr">
        <is>
          <t>Site Survey &amp; Measurement Handbook</t>
        </is>
      </c>
      <c r="C23" s="14" t="inlineStr">
        <is>
          <t>Woodify Homes</t>
        </is>
      </c>
      <c r="D23" s="14" t="inlineStr">
        <is>
          <t>Site Survey</t>
        </is>
      </c>
      <c r="E23" s="14" t="inlineStr">
        <is>
          <t>Department Handbook</t>
        </is>
      </c>
      <c r="F23" s="16" t="inlineStr">
        <is>
          <t>L1-L5</t>
        </is>
      </c>
      <c r="G23" s="14" t="inlineStr">
        <is>
          <t>Internal</t>
        </is>
      </c>
      <c r="H23" s="14" t="inlineStr">
        <is>
          <t>Dept Head - WFH/Site Survey</t>
        </is>
      </c>
      <c r="I23" s="16" t="inlineStr">
        <is>
          <t>Yes</t>
        </is>
      </c>
      <c r="J23" s="16" t="inlineStr">
        <is>
          <t>No</t>
        </is>
      </c>
      <c r="K23" s="16" t="inlineStr">
        <is>
          <t>Yes</t>
        </is>
      </c>
      <c r="L23" s="16" t="inlineStr">
        <is>
          <t>Yes</t>
        </is>
      </c>
      <c r="M23" s="16" t="inlineStr">
        <is>
          <t>No</t>
        </is>
      </c>
      <c r="N23" s="16" t="inlineStr">
        <is>
          <t>-</t>
        </is>
      </c>
      <c r="O23" s="14" t="inlineStr">
        <is>
          <t>SDA-CRS-WFH-DPT-05</t>
        </is>
      </c>
      <c r="P23" s="15" t="inlineStr">
        <is>
          <t>SD Academy/03_Woodify/03_Department_Handbooks</t>
        </is>
      </c>
      <c r="Q23" s="15" t="inlineStr">
        <is>
          <t>SDG_Woodify_WoodifyHomes_Site_Survey_Measurement_Handbook_L1-L5_V1.0.pdf</t>
        </is>
      </c>
      <c r="R23" s="16" t="n">
        <v>1</v>
      </c>
      <c r="S23" s="14" t="inlineStr">
        <is>
          <t>PDF Final Checked</t>
        </is>
      </c>
      <c r="T23" s="16" t="inlineStr">
        <is>
          <t>Medium</t>
        </is>
      </c>
      <c r="U23" s="16" t="inlineStr">
        <is>
          <t>Wave 4</t>
        </is>
      </c>
      <c r="V23" s="14" t="inlineStr">
        <is>
          <t>Annual</t>
        </is>
      </c>
      <c r="W23" s="17" t="n">
        <v>46478</v>
      </c>
      <c r="X23" s="15" t="inlineStr">
        <is>
          <t>Covers customer measurement &amp; site readiness</t>
        </is>
      </c>
    </row>
    <row r="24">
      <c r="A24" s="9" t="inlineStr">
        <is>
          <t>WFH-DPT-06</t>
        </is>
      </c>
      <c r="B24" s="10" t="inlineStr">
        <is>
          <t>Project Execution Handbook</t>
        </is>
      </c>
      <c r="C24" s="9" t="inlineStr">
        <is>
          <t>Woodify Homes</t>
        </is>
      </c>
      <c r="D24" s="9" t="inlineStr">
        <is>
          <t>Project Execution</t>
        </is>
      </c>
      <c r="E24" s="9" t="inlineStr">
        <is>
          <t>Department Handbook</t>
        </is>
      </c>
      <c r="F24" s="11" t="inlineStr">
        <is>
          <t>L1-L5</t>
        </is>
      </c>
      <c r="G24" s="9" t="inlineStr">
        <is>
          <t>Internal</t>
        </is>
      </c>
      <c r="H24" s="9" t="inlineStr">
        <is>
          <t>Dept Head - WFH/Project Execution</t>
        </is>
      </c>
      <c r="I24" s="11" t="inlineStr">
        <is>
          <t>Yes</t>
        </is>
      </c>
      <c r="J24" s="11" t="inlineStr">
        <is>
          <t>No</t>
        </is>
      </c>
      <c r="K24" s="11" t="inlineStr">
        <is>
          <t>Yes</t>
        </is>
      </c>
      <c r="L24" s="11" t="inlineStr">
        <is>
          <t>Yes</t>
        </is>
      </c>
      <c r="M24" s="11" t="inlineStr">
        <is>
          <t>No</t>
        </is>
      </c>
      <c r="N24" s="11" t="inlineStr">
        <is>
          <t>-</t>
        </is>
      </c>
      <c r="O24" s="9" t="inlineStr">
        <is>
          <t>SDA-CRS-WFH-DPT-06</t>
        </is>
      </c>
      <c r="P24" s="10" t="inlineStr">
        <is>
          <t>SD Academy/03_Woodify/03_Department_Handbooks</t>
        </is>
      </c>
      <c r="Q24" s="10" t="inlineStr">
        <is>
          <t>SDG_Woodify_WoodifyHomes_Project_Execution_Handbook_L1-L5_V1.0.pdf</t>
        </is>
      </c>
      <c r="R24" s="11" t="n">
        <v>1</v>
      </c>
      <c r="S24" s="9" t="inlineStr">
        <is>
          <t>PDF Final Checked</t>
        </is>
      </c>
      <c r="T24" s="11" t="inlineStr">
        <is>
          <t>Medium</t>
        </is>
      </c>
      <c r="U24" s="11" t="inlineStr">
        <is>
          <t>Wave 4</t>
        </is>
      </c>
      <c r="V24" s="9" t="inlineStr">
        <is>
          <t>Annual</t>
        </is>
      </c>
      <c r="W24" s="13" t="n">
        <v>46478</v>
      </c>
      <c r="X24" s="10" t="inlineStr"/>
    </row>
    <row r="25">
      <c r="A25" s="14" t="inlineStr">
        <is>
          <t>WFH-DPT-07</t>
        </is>
      </c>
      <c r="B25" s="15" t="inlineStr">
        <is>
          <t>Installation Handbook</t>
        </is>
      </c>
      <c r="C25" s="14" t="inlineStr">
        <is>
          <t>Woodify Homes</t>
        </is>
      </c>
      <c r="D25" s="14" t="inlineStr">
        <is>
          <t>Installation</t>
        </is>
      </c>
      <c r="E25" s="14" t="inlineStr">
        <is>
          <t>Department Handbook</t>
        </is>
      </c>
      <c r="F25" s="16" t="inlineStr">
        <is>
          <t>L1-L5</t>
        </is>
      </c>
      <c r="G25" s="14" t="inlineStr">
        <is>
          <t>Internal</t>
        </is>
      </c>
      <c r="H25" s="14" t="inlineStr">
        <is>
          <t>Dept Head - WFH/Installation</t>
        </is>
      </c>
      <c r="I25" s="16" t="inlineStr">
        <is>
          <t>Yes</t>
        </is>
      </c>
      <c r="J25" s="16" t="inlineStr">
        <is>
          <t>No</t>
        </is>
      </c>
      <c r="K25" s="16" t="inlineStr">
        <is>
          <t>Yes</t>
        </is>
      </c>
      <c r="L25" s="16" t="inlineStr">
        <is>
          <t>Yes</t>
        </is>
      </c>
      <c r="M25" s="16" t="inlineStr">
        <is>
          <t>No</t>
        </is>
      </c>
      <c r="N25" s="16" t="inlineStr">
        <is>
          <t>-</t>
        </is>
      </c>
      <c r="O25" s="14" t="inlineStr">
        <is>
          <t>SDA-CRS-WFH-DPT-07</t>
        </is>
      </c>
      <c r="P25" s="15" t="inlineStr">
        <is>
          <t>SD Academy/03_Woodify/03_Department_Handbooks</t>
        </is>
      </c>
      <c r="Q25" s="15" t="inlineStr">
        <is>
          <t>SDG_Woodify_WoodifyHomes_Installation_Handbook_L1-L5_V1.0.pdf</t>
        </is>
      </c>
      <c r="R25" s="16" t="n">
        <v>1</v>
      </c>
      <c r="S25" s="14" t="inlineStr">
        <is>
          <t>PDF Final Checked</t>
        </is>
      </c>
      <c r="T25" s="16" t="inlineStr">
        <is>
          <t>Medium</t>
        </is>
      </c>
      <c r="U25" s="16" t="inlineStr">
        <is>
          <t>Wave 4</t>
        </is>
      </c>
      <c r="V25" s="14" t="inlineStr">
        <is>
          <t>Annual</t>
        </is>
      </c>
      <c r="W25" s="17" t="n">
        <v>46478</v>
      </c>
      <c r="X25" s="15" t="inlineStr"/>
    </row>
    <row r="26">
      <c r="A26" s="9" t="inlineStr">
        <is>
          <t>WFH-DPT-08</t>
        </is>
      </c>
      <c r="B26" s="10" t="inlineStr">
        <is>
          <t>Quality Control Handbook</t>
        </is>
      </c>
      <c r="C26" s="9" t="inlineStr">
        <is>
          <t>Woodify Homes</t>
        </is>
      </c>
      <c r="D26" s="9" t="inlineStr">
        <is>
          <t>Quality Control</t>
        </is>
      </c>
      <c r="E26" s="9" t="inlineStr">
        <is>
          <t>Department Handbook</t>
        </is>
      </c>
      <c r="F26" s="11" t="inlineStr">
        <is>
          <t>L1-L5</t>
        </is>
      </c>
      <c r="G26" s="9" t="inlineStr">
        <is>
          <t>Internal</t>
        </is>
      </c>
      <c r="H26" s="9" t="inlineStr">
        <is>
          <t>Dept Head - WFH/Quality Control</t>
        </is>
      </c>
      <c r="I26" s="11" t="inlineStr">
        <is>
          <t>Yes</t>
        </is>
      </c>
      <c r="J26" s="11" t="inlineStr">
        <is>
          <t>No</t>
        </is>
      </c>
      <c r="K26" s="11" t="inlineStr">
        <is>
          <t>Yes</t>
        </is>
      </c>
      <c r="L26" s="11" t="inlineStr">
        <is>
          <t>Yes</t>
        </is>
      </c>
      <c r="M26" s="11" t="inlineStr">
        <is>
          <t>No</t>
        </is>
      </c>
      <c r="N26" s="11" t="inlineStr">
        <is>
          <t>-</t>
        </is>
      </c>
      <c r="O26" s="9" t="inlineStr">
        <is>
          <t>SDA-CRS-WFH-DPT-08</t>
        </is>
      </c>
      <c r="P26" s="10" t="inlineStr">
        <is>
          <t>SD Academy/03_Woodify/03_Department_Handbooks</t>
        </is>
      </c>
      <c r="Q26" s="10" t="inlineStr">
        <is>
          <t>SDG_Woodify_WoodifyHomes_Quality_Control_Handbook_L1-L5_V1.0.pdf</t>
        </is>
      </c>
      <c r="R26" s="11" t="n">
        <v>1</v>
      </c>
      <c r="S26" s="9" t="inlineStr">
        <is>
          <t>PDF Final Checked</t>
        </is>
      </c>
      <c r="T26" s="11" t="inlineStr">
        <is>
          <t>Medium</t>
        </is>
      </c>
      <c r="U26" s="11" t="inlineStr">
        <is>
          <t>Wave 4</t>
        </is>
      </c>
      <c r="V26" s="9" t="inlineStr">
        <is>
          <t>Annual</t>
        </is>
      </c>
      <c r="W26" s="13" t="n">
        <v>46478</v>
      </c>
      <c r="X26" s="10" t="inlineStr"/>
    </row>
    <row r="27">
      <c r="A27" s="14" t="inlineStr">
        <is>
          <t>WFH-DPT-09</t>
        </is>
      </c>
      <c r="B27" s="15" t="inlineStr">
        <is>
          <t>Customer Experience &amp; Warranty Handbook</t>
        </is>
      </c>
      <c r="C27" s="14" t="inlineStr">
        <is>
          <t>Woodify Homes</t>
        </is>
      </c>
      <c r="D27" s="14" t="inlineStr">
        <is>
          <t>Customer Experience</t>
        </is>
      </c>
      <c r="E27" s="14" t="inlineStr">
        <is>
          <t>Department Handbook</t>
        </is>
      </c>
      <c r="F27" s="16" t="inlineStr">
        <is>
          <t>L1-L5</t>
        </is>
      </c>
      <c r="G27" s="14" t="inlineStr">
        <is>
          <t>Internal</t>
        </is>
      </c>
      <c r="H27" s="14" t="inlineStr">
        <is>
          <t>Dept Head - WFH/Customer Experience</t>
        </is>
      </c>
      <c r="I27" s="16" t="inlineStr">
        <is>
          <t>Yes</t>
        </is>
      </c>
      <c r="J27" s="12" t="inlineStr">
        <is>
          <t>Yes</t>
        </is>
      </c>
      <c r="K27" s="16" t="inlineStr">
        <is>
          <t>Yes</t>
        </is>
      </c>
      <c r="L27" s="16" t="inlineStr">
        <is>
          <t>Yes</t>
        </is>
      </c>
      <c r="M27" s="16" t="inlineStr">
        <is>
          <t>No</t>
        </is>
      </c>
      <c r="N27" s="16" t="inlineStr">
        <is>
          <t>-</t>
        </is>
      </c>
      <c r="O27" s="14" t="inlineStr">
        <is>
          <t>SDA-CRS-WFH-DPT-09</t>
        </is>
      </c>
      <c r="P27" s="15" t="inlineStr">
        <is>
          <t>SD Academy/03_Woodify/03_Department_Handbooks</t>
        </is>
      </c>
      <c r="Q27" s="15" t="inlineStr">
        <is>
          <t>SDG_Woodify_WoodifyHomes_Customer_Experience_Warranty_Handbook_L1-L5_V1.0.pdf</t>
        </is>
      </c>
      <c r="R27" s="16" t="n">
        <v>1</v>
      </c>
      <c r="S27" s="14" t="inlineStr">
        <is>
          <t>PDF Final Checked</t>
        </is>
      </c>
      <c r="T27" s="16" t="inlineStr">
        <is>
          <t>Medium</t>
        </is>
      </c>
      <c r="U27" s="16" t="inlineStr">
        <is>
          <t>Wave 4</t>
        </is>
      </c>
      <c r="V27" s="14" t="inlineStr">
        <is>
          <t>Annual + on law change</t>
        </is>
      </c>
      <c r="W27" s="17" t="n">
        <v>46478</v>
      </c>
      <c r="X27" s="15" t="inlineStr">
        <is>
          <t>Covers warranty &amp; complaint resolution for Homes</t>
        </is>
      </c>
    </row>
    <row r="28">
      <c r="A28" s="9" t="inlineStr">
        <is>
          <t>WFH-DPT-10</t>
        </is>
      </c>
      <c r="B28" s="10" t="inlineStr">
        <is>
          <t>Procurement Handbook</t>
        </is>
      </c>
      <c r="C28" s="9" t="inlineStr">
        <is>
          <t>Woodify Homes</t>
        </is>
      </c>
      <c r="D28" s="9" t="inlineStr">
        <is>
          <t>Procurement</t>
        </is>
      </c>
      <c r="E28" s="9" t="inlineStr">
        <is>
          <t>Department Handbook</t>
        </is>
      </c>
      <c r="F28" s="11" t="inlineStr">
        <is>
          <t>L1-L5</t>
        </is>
      </c>
      <c r="G28" s="9" t="inlineStr">
        <is>
          <t>Internal</t>
        </is>
      </c>
      <c r="H28" s="9" t="inlineStr">
        <is>
          <t>Dept Head - WFH/Procurement</t>
        </is>
      </c>
      <c r="I28" s="11" t="inlineStr">
        <is>
          <t>Yes</t>
        </is>
      </c>
      <c r="J28" s="11" t="inlineStr">
        <is>
          <t>No</t>
        </is>
      </c>
      <c r="K28" s="11" t="inlineStr">
        <is>
          <t>Yes</t>
        </is>
      </c>
      <c r="L28" s="11" t="inlineStr">
        <is>
          <t>Yes</t>
        </is>
      </c>
      <c r="M28" s="11" t="inlineStr">
        <is>
          <t>No</t>
        </is>
      </c>
      <c r="N28" s="11" t="inlineStr">
        <is>
          <t>-</t>
        </is>
      </c>
      <c r="O28" s="9" t="inlineStr">
        <is>
          <t>SDA-CRS-WFH-DPT-10</t>
        </is>
      </c>
      <c r="P28" s="10" t="inlineStr">
        <is>
          <t>SD Academy/03_Woodify/03_Department_Handbooks</t>
        </is>
      </c>
      <c r="Q28" s="10" t="inlineStr">
        <is>
          <t>SDG_Woodify_WoodifyHomes_Procurement_Handbook_L1-L5_V1.0.pdf</t>
        </is>
      </c>
      <c r="R28" s="11" t="n">
        <v>1</v>
      </c>
      <c r="S28" s="9" t="inlineStr">
        <is>
          <t>PDF Final Checked</t>
        </is>
      </c>
      <c r="T28" s="11" t="inlineStr">
        <is>
          <t>Medium</t>
        </is>
      </c>
      <c r="U28" s="11" t="inlineStr">
        <is>
          <t>Wave 4</t>
        </is>
      </c>
      <c r="V28" s="9" t="inlineStr">
        <is>
          <t>Annual</t>
        </is>
      </c>
      <c r="W28" s="13" t="n">
        <v>46478</v>
      </c>
      <c r="X28" s="10" t="inlineStr"/>
    </row>
    <row r="29">
      <c r="A29" s="14" t="inlineStr">
        <is>
          <t>WFH-SOP-01</t>
        </is>
      </c>
      <c r="B29" s="15" t="inlineStr">
        <is>
          <t>Dispatch, Logistics &amp; Delivery Handbook</t>
        </is>
      </c>
      <c r="C29" s="14" t="inlineStr">
        <is>
          <t>Woodify Homes</t>
        </is>
      </c>
      <c r="D29" s="14" t="inlineStr">
        <is>
          <t>Logistics</t>
        </is>
      </c>
      <c r="E29" s="14" t="inlineStr">
        <is>
          <t>SOP Handbook</t>
        </is>
      </c>
      <c r="F29" s="16" t="inlineStr">
        <is>
          <t>L2-L5</t>
        </is>
      </c>
      <c r="G29" s="14" t="inlineStr">
        <is>
          <t>Internal</t>
        </is>
      </c>
      <c r="H29" s="14" t="inlineStr">
        <is>
          <t>Dept Head - WFH/Logistics</t>
        </is>
      </c>
      <c r="I29" s="16" t="inlineStr">
        <is>
          <t>Yes</t>
        </is>
      </c>
      <c r="J29" s="16" t="inlineStr">
        <is>
          <t>No</t>
        </is>
      </c>
      <c r="K29" s="16" t="inlineStr">
        <is>
          <t>Yes</t>
        </is>
      </c>
      <c r="L29" s="16" t="inlineStr">
        <is>
          <t>No</t>
        </is>
      </c>
      <c r="M29" s="16" t="inlineStr">
        <is>
          <t>No</t>
        </is>
      </c>
      <c r="N29" s="16" t="inlineStr">
        <is>
          <t>-</t>
        </is>
      </c>
      <c r="O29" s="14" t="inlineStr">
        <is>
          <t>SDA-CRS-WFH-SOP-01</t>
        </is>
      </c>
      <c r="P29" s="15" t="inlineStr">
        <is>
          <t>SD Academy/03_Woodify/04_SOP_Handbooks</t>
        </is>
      </c>
      <c r="Q29" s="15" t="inlineStr">
        <is>
          <t>SDG_Woodify_WoodifyHomes_Dispatch_Logistics_Delivery_Handbook_L2-L5_V1.0.pdf</t>
        </is>
      </c>
      <c r="R29" s="16" t="n">
        <v>1</v>
      </c>
      <c r="S29" s="14" t="inlineStr">
        <is>
          <t>PDF Final Checked</t>
        </is>
      </c>
      <c r="T29" s="16" t="inlineStr">
        <is>
          <t>Medium</t>
        </is>
      </c>
      <c r="U29" s="16" t="inlineStr">
        <is>
          <t>Wave 4</t>
        </is>
      </c>
      <c r="V29" s="14" t="inlineStr">
        <is>
          <t>Half-yearly</t>
        </is>
      </c>
      <c r="W29" s="17" t="n">
        <v>46388</v>
      </c>
      <c r="X29" s="15" t="inlineStr"/>
    </row>
    <row r="30">
      <c r="A30" s="9" t="inlineStr">
        <is>
          <t>WFY-DPT-04</t>
        </is>
      </c>
      <c r="B30" s="10" t="inlineStr">
        <is>
          <t>R&amp;D Handbook</t>
        </is>
      </c>
      <c r="C30" s="9" t="inlineStr">
        <is>
          <t>Woodify Office Furniture</t>
        </is>
      </c>
      <c r="D30" s="9" t="inlineStr">
        <is>
          <t>R&amp;D</t>
        </is>
      </c>
      <c r="E30" s="9" t="inlineStr">
        <is>
          <t>Department Handbook</t>
        </is>
      </c>
      <c r="F30" s="11" t="inlineStr">
        <is>
          <t>L2-L5</t>
        </is>
      </c>
      <c r="G30" s="9" t="inlineStr">
        <is>
          <t>Internal</t>
        </is>
      </c>
      <c r="H30" s="9" t="inlineStr">
        <is>
          <t>Dept Head - WFY/R&amp;D</t>
        </is>
      </c>
      <c r="I30" s="11" t="inlineStr">
        <is>
          <t>Yes</t>
        </is>
      </c>
      <c r="J30" s="11" t="inlineStr">
        <is>
          <t>No</t>
        </is>
      </c>
      <c r="K30" s="11" t="inlineStr">
        <is>
          <t>Yes</t>
        </is>
      </c>
      <c r="L30" s="11" t="inlineStr">
        <is>
          <t>Yes</t>
        </is>
      </c>
      <c r="M30" s="11" t="inlineStr">
        <is>
          <t>No</t>
        </is>
      </c>
      <c r="N30" s="11" t="inlineStr">
        <is>
          <t>-</t>
        </is>
      </c>
      <c r="O30" s="9" t="inlineStr">
        <is>
          <t>SDA-CRS-WFY-DPT-04</t>
        </is>
      </c>
      <c r="P30" s="10" t="inlineStr">
        <is>
          <t>SD Academy/03_Woodify/03_Department_Handbooks</t>
        </is>
      </c>
      <c r="Q30" s="10" t="inlineStr">
        <is>
          <t>SDG_Woodify_R_D_Handbook_L2-L5_V1.0.pdf</t>
        </is>
      </c>
      <c r="R30" s="11" t="n">
        <v>1</v>
      </c>
      <c r="S30" s="9" t="inlineStr">
        <is>
          <t>PDF Final Checked</t>
        </is>
      </c>
      <c r="T30" s="11" t="inlineStr">
        <is>
          <t>Medium</t>
        </is>
      </c>
      <c r="U30" s="11" t="inlineStr">
        <is>
          <t>Wave 4</t>
        </is>
      </c>
      <c r="V30" s="9" t="inlineStr">
        <is>
          <t>Annual</t>
        </is>
      </c>
      <c r="W30" s="13" t="n">
        <v>46478</v>
      </c>
      <c r="X30" s="10" t="inlineStr"/>
    </row>
    <row r="31">
      <c r="A31" s="14" t="inlineStr">
        <is>
          <t>WFY-DPT-05</t>
        </is>
      </c>
      <c r="B31" s="15" t="inlineStr">
        <is>
          <t>Production Planning Handbook</t>
        </is>
      </c>
      <c r="C31" s="14" t="inlineStr">
        <is>
          <t>Factory / Manufacturing Operations</t>
        </is>
      </c>
      <c r="D31" s="14" t="inlineStr">
        <is>
          <t>Production Planning</t>
        </is>
      </c>
      <c r="E31" s="14" t="inlineStr">
        <is>
          <t>Department Handbook</t>
        </is>
      </c>
      <c r="F31" s="16" t="inlineStr">
        <is>
          <t>L1-L5</t>
        </is>
      </c>
      <c r="G31" s="14" t="inlineStr">
        <is>
          <t>Internal</t>
        </is>
      </c>
      <c r="H31" s="14" t="inlineStr">
        <is>
          <t>Dept Head - WFY/Production Planning</t>
        </is>
      </c>
      <c r="I31" s="16" t="inlineStr">
        <is>
          <t>Yes</t>
        </is>
      </c>
      <c r="J31" s="16" t="inlineStr">
        <is>
          <t>No</t>
        </is>
      </c>
      <c r="K31" s="16" t="inlineStr">
        <is>
          <t>Yes</t>
        </is>
      </c>
      <c r="L31" s="16" t="inlineStr">
        <is>
          <t>Yes</t>
        </is>
      </c>
      <c r="M31" s="16" t="inlineStr">
        <is>
          <t>No</t>
        </is>
      </c>
      <c r="N31" s="16" t="inlineStr">
        <is>
          <t>-</t>
        </is>
      </c>
      <c r="O31" s="14" t="inlineStr">
        <is>
          <t>SDA-CRS-WFY-DPT-05</t>
        </is>
      </c>
      <c r="P31" s="15" t="inlineStr">
        <is>
          <t>SD Academy/03_Woodify/03_Department_Handbooks</t>
        </is>
      </c>
      <c r="Q31" s="15" t="inlineStr">
        <is>
          <t>SDG_Woodify_Production_Planning_Handbook_L1-L5_V1.0.pdf</t>
        </is>
      </c>
      <c r="R31" s="16" t="n">
        <v>1</v>
      </c>
      <c r="S31" s="14" t="inlineStr">
        <is>
          <t>PDF Final Checked</t>
        </is>
      </c>
      <c r="T31" s="16" t="inlineStr">
        <is>
          <t>Medium</t>
        </is>
      </c>
      <c r="U31" s="16" t="inlineStr">
        <is>
          <t>Wave 4</t>
        </is>
      </c>
      <c r="V31" s="14" t="inlineStr">
        <is>
          <t>Annual</t>
        </is>
      </c>
      <c r="W31" s="17" t="n">
        <v>46478</v>
      </c>
      <c r="X31" s="15" t="inlineStr"/>
    </row>
    <row r="32">
      <c r="A32" s="9" t="inlineStr">
        <is>
          <t>WFY-DPT-06</t>
        </is>
      </c>
      <c r="B32" s="10" t="inlineStr">
        <is>
          <t>Manufacturing Handbook</t>
        </is>
      </c>
      <c r="C32" s="9" t="inlineStr">
        <is>
          <t>Factory / Manufacturing Operations</t>
        </is>
      </c>
      <c r="D32" s="9" t="inlineStr">
        <is>
          <t>Manufacturing</t>
        </is>
      </c>
      <c r="E32" s="9" t="inlineStr">
        <is>
          <t>Department Handbook</t>
        </is>
      </c>
      <c r="F32" s="11" t="inlineStr">
        <is>
          <t>L1-L5</t>
        </is>
      </c>
      <c r="G32" s="9" t="inlineStr">
        <is>
          <t>Internal</t>
        </is>
      </c>
      <c r="H32" s="9" t="inlineStr">
        <is>
          <t>Dept Head - WFY/Manufacturing</t>
        </is>
      </c>
      <c r="I32" s="11" t="inlineStr">
        <is>
          <t>Yes</t>
        </is>
      </c>
      <c r="J32" s="11" t="inlineStr">
        <is>
          <t>No</t>
        </is>
      </c>
      <c r="K32" s="11" t="inlineStr">
        <is>
          <t>Yes</t>
        </is>
      </c>
      <c r="L32" s="11" t="inlineStr">
        <is>
          <t>Yes</t>
        </is>
      </c>
      <c r="M32" s="11" t="inlineStr">
        <is>
          <t>No</t>
        </is>
      </c>
      <c r="N32" s="11" t="inlineStr">
        <is>
          <t>-</t>
        </is>
      </c>
      <c r="O32" s="9" t="inlineStr">
        <is>
          <t>SDA-CRS-WFY-DPT-06</t>
        </is>
      </c>
      <c r="P32" s="10" t="inlineStr">
        <is>
          <t>SD Academy/03_Woodify/03_Department_Handbooks</t>
        </is>
      </c>
      <c r="Q32" s="10" t="inlineStr">
        <is>
          <t>SDG_Woodify_Manufacturing_Handbook_L1-L5_V1.0.pdf</t>
        </is>
      </c>
      <c r="R32" s="11" t="n">
        <v>1</v>
      </c>
      <c r="S32" s="9" t="inlineStr">
        <is>
          <t>PDF Final Checked</t>
        </is>
      </c>
      <c r="T32" s="11" t="inlineStr">
        <is>
          <t>Medium</t>
        </is>
      </c>
      <c r="U32" s="11" t="inlineStr">
        <is>
          <t>Wave 4</t>
        </is>
      </c>
      <c r="V32" s="9" t="inlineStr">
        <is>
          <t>Annual</t>
        </is>
      </c>
      <c r="W32" s="13" t="n">
        <v>46478</v>
      </c>
      <c r="X32" s="10" t="inlineStr"/>
    </row>
    <row r="33">
      <c r="A33" s="14" t="inlineStr">
        <is>
          <t>WFY-DPT-07</t>
        </is>
      </c>
      <c r="B33" s="15" t="inlineStr">
        <is>
          <t>CNC Operations Handbook</t>
        </is>
      </c>
      <c r="C33" s="14" t="inlineStr">
        <is>
          <t>Factory / Manufacturing Operations</t>
        </is>
      </c>
      <c r="D33" s="14" t="inlineStr">
        <is>
          <t>CNC</t>
        </is>
      </c>
      <c r="E33" s="14" t="inlineStr">
        <is>
          <t>Department Handbook</t>
        </is>
      </c>
      <c r="F33" s="16" t="inlineStr">
        <is>
          <t>L1-L5</t>
        </is>
      </c>
      <c r="G33" s="14" t="inlineStr">
        <is>
          <t>Internal</t>
        </is>
      </c>
      <c r="H33" s="14" t="inlineStr">
        <is>
          <t>Dept Head - WFY/CNC</t>
        </is>
      </c>
      <c r="I33" s="16" t="inlineStr">
        <is>
          <t>Yes</t>
        </is>
      </c>
      <c r="J33" s="16" t="inlineStr">
        <is>
          <t>No</t>
        </is>
      </c>
      <c r="K33" s="16" t="inlineStr">
        <is>
          <t>Yes</t>
        </is>
      </c>
      <c r="L33" s="16" t="inlineStr">
        <is>
          <t>Yes</t>
        </is>
      </c>
      <c r="M33" s="16" t="inlineStr">
        <is>
          <t>No</t>
        </is>
      </c>
      <c r="N33" s="16" t="inlineStr">
        <is>
          <t>-</t>
        </is>
      </c>
      <c r="O33" s="14" t="inlineStr">
        <is>
          <t>SDA-CRS-WFY-DPT-07</t>
        </is>
      </c>
      <c r="P33" s="15" t="inlineStr">
        <is>
          <t>SD Academy/03_Woodify/03_Department_Handbooks</t>
        </is>
      </c>
      <c r="Q33" s="15" t="inlineStr">
        <is>
          <t>SDG_Woodify_CNC_Operations_Handbook_L1-L5_V1.0.pdf</t>
        </is>
      </c>
      <c r="R33" s="16" t="n">
        <v>1</v>
      </c>
      <c r="S33" s="14" t="inlineStr">
        <is>
          <t>PDF Final Checked</t>
        </is>
      </c>
      <c r="T33" s="16" t="inlineStr">
        <is>
          <t>Medium</t>
        </is>
      </c>
      <c r="U33" s="16" t="inlineStr">
        <is>
          <t>Wave 4</t>
        </is>
      </c>
      <c r="V33" s="14" t="inlineStr">
        <is>
          <t>Annual</t>
        </is>
      </c>
      <c r="W33" s="17" t="n">
        <v>46478</v>
      </c>
      <c r="X33" s="15" t="inlineStr"/>
    </row>
    <row r="34">
      <c r="A34" s="9" t="inlineStr">
        <is>
          <t>WFY-DPT-08</t>
        </is>
      </c>
      <c r="B34" s="10" t="inlineStr">
        <is>
          <t>Edge Banding Handbook</t>
        </is>
      </c>
      <c r="C34" s="9" t="inlineStr">
        <is>
          <t>Factory / Manufacturing Operations</t>
        </is>
      </c>
      <c r="D34" s="9" t="inlineStr">
        <is>
          <t>Edge Banding</t>
        </is>
      </c>
      <c r="E34" s="9" t="inlineStr">
        <is>
          <t>Department Handbook</t>
        </is>
      </c>
      <c r="F34" s="11" t="inlineStr">
        <is>
          <t>L1-L5</t>
        </is>
      </c>
      <c r="G34" s="9" t="inlineStr">
        <is>
          <t>Internal</t>
        </is>
      </c>
      <c r="H34" s="9" t="inlineStr">
        <is>
          <t>Dept Head - WFY/Edge Banding</t>
        </is>
      </c>
      <c r="I34" s="11" t="inlineStr">
        <is>
          <t>Yes</t>
        </is>
      </c>
      <c r="J34" s="11" t="inlineStr">
        <is>
          <t>No</t>
        </is>
      </c>
      <c r="K34" s="11" t="inlineStr">
        <is>
          <t>Yes</t>
        </is>
      </c>
      <c r="L34" s="11" t="inlineStr">
        <is>
          <t>Yes</t>
        </is>
      </c>
      <c r="M34" s="11" t="inlineStr">
        <is>
          <t>No</t>
        </is>
      </c>
      <c r="N34" s="11" t="inlineStr">
        <is>
          <t>-</t>
        </is>
      </c>
      <c r="O34" s="9" t="inlineStr">
        <is>
          <t>SDA-CRS-WFY-DPT-08</t>
        </is>
      </c>
      <c r="P34" s="10" t="inlineStr">
        <is>
          <t>SD Academy/03_Woodify/03_Department_Handbooks</t>
        </is>
      </c>
      <c r="Q34" s="10" t="inlineStr">
        <is>
          <t>SDG_Woodify_Edge_Banding_Handbook_L1-L5_V1.0.pdf</t>
        </is>
      </c>
      <c r="R34" s="11" t="n">
        <v>1</v>
      </c>
      <c r="S34" s="9" t="inlineStr">
        <is>
          <t>PDF Final Checked</t>
        </is>
      </c>
      <c r="T34" s="11" t="inlineStr">
        <is>
          <t>Medium</t>
        </is>
      </c>
      <c r="U34" s="11" t="inlineStr">
        <is>
          <t>Wave 4</t>
        </is>
      </c>
      <c r="V34" s="9" t="inlineStr">
        <is>
          <t>Annual</t>
        </is>
      </c>
      <c r="W34" s="13" t="n">
        <v>46478</v>
      </c>
      <c r="X34" s="10" t="inlineStr"/>
    </row>
    <row r="35">
      <c r="A35" s="14" t="inlineStr">
        <is>
          <t>WFY-DPT-09</t>
        </is>
      </c>
      <c r="B35" s="15" t="inlineStr">
        <is>
          <t>Assembly Handbook</t>
        </is>
      </c>
      <c r="C35" s="14" t="inlineStr">
        <is>
          <t>Factory / Manufacturing Operations</t>
        </is>
      </c>
      <c r="D35" s="14" t="inlineStr">
        <is>
          <t>Assembly</t>
        </is>
      </c>
      <c r="E35" s="14" t="inlineStr">
        <is>
          <t>Department Handbook</t>
        </is>
      </c>
      <c r="F35" s="16" t="inlineStr">
        <is>
          <t>L1-L5</t>
        </is>
      </c>
      <c r="G35" s="14" t="inlineStr">
        <is>
          <t>Internal</t>
        </is>
      </c>
      <c r="H35" s="14" t="inlineStr">
        <is>
          <t>Dept Head - WFY/Assembly</t>
        </is>
      </c>
      <c r="I35" s="16" t="inlineStr">
        <is>
          <t>Yes</t>
        </is>
      </c>
      <c r="J35" s="16" t="inlineStr">
        <is>
          <t>No</t>
        </is>
      </c>
      <c r="K35" s="16" t="inlineStr">
        <is>
          <t>Yes</t>
        </is>
      </c>
      <c r="L35" s="16" t="inlineStr">
        <is>
          <t>Yes</t>
        </is>
      </c>
      <c r="M35" s="16" t="inlineStr">
        <is>
          <t>No</t>
        </is>
      </c>
      <c r="N35" s="16" t="inlineStr">
        <is>
          <t>-</t>
        </is>
      </c>
      <c r="O35" s="14" t="inlineStr">
        <is>
          <t>SDA-CRS-WFY-DPT-09</t>
        </is>
      </c>
      <c r="P35" s="15" t="inlineStr">
        <is>
          <t>SD Academy/03_Woodify/03_Department_Handbooks</t>
        </is>
      </c>
      <c r="Q35" s="15" t="inlineStr">
        <is>
          <t>SDG_Woodify_Assembly_Handbook_L1-L5_V1.0.pdf</t>
        </is>
      </c>
      <c r="R35" s="16" t="n">
        <v>1</v>
      </c>
      <c r="S35" s="14" t="inlineStr">
        <is>
          <t>PDF Final Checked</t>
        </is>
      </c>
      <c r="T35" s="16" t="inlineStr">
        <is>
          <t>Medium</t>
        </is>
      </c>
      <c r="U35" s="16" t="inlineStr">
        <is>
          <t>Wave 4</t>
        </is>
      </c>
      <c r="V35" s="14" t="inlineStr">
        <is>
          <t>Annual</t>
        </is>
      </c>
      <c r="W35" s="17" t="n">
        <v>46478</v>
      </c>
      <c r="X35" s="15" t="inlineStr"/>
    </row>
    <row r="36">
      <c r="A36" s="9" t="inlineStr">
        <is>
          <t>WFY-DPT-10</t>
        </is>
      </c>
      <c r="B36" s="10" t="inlineStr">
        <is>
          <t>Quality Control Handbook</t>
        </is>
      </c>
      <c r="C36" s="9" t="inlineStr">
        <is>
          <t>Factory / Manufacturing Operations</t>
        </is>
      </c>
      <c r="D36" s="9" t="inlineStr">
        <is>
          <t>Quality Control</t>
        </is>
      </c>
      <c r="E36" s="9" t="inlineStr">
        <is>
          <t>Department Handbook</t>
        </is>
      </c>
      <c r="F36" s="11" t="inlineStr">
        <is>
          <t>L1-L5</t>
        </is>
      </c>
      <c r="G36" s="9" t="inlineStr">
        <is>
          <t>Internal</t>
        </is>
      </c>
      <c r="H36" s="9" t="inlineStr">
        <is>
          <t>Dept Head - WFY/Quality Control</t>
        </is>
      </c>
      <c r="I36" s="11" t="inlineStr">
        <is>
          <t>Yes</t>
        </is>
      </c>
      <c r="J36" s="11" t="inlineStr">
        <is>
          <t>No</t>
        </is>
      </c>
      <c r="K36" s="11" t="inlineStr">
        <is>
          <t>Yes</t>
        </is>
      </c>
      <c r="L36" s="11" t="inlineStr">
        <is>
          <t>Yes</t>
        </is>
      </c>
      <c r="M36" s="11" t="inlineStr">
        <is>
          <t>No</t>
        </is>
      </c>
      <c r="N36" s="11" t="inlineStr">
        <is>
          <t>-</t>
        </is>
      </c>
      <c r="O36" s="9" t="inlineStr">
        <is>
          <t>SDA-CRS-WFY-DPT-10</t>
        </is>
      </c>
      <c r="P36" s="10" t="inlineStr">
        <is>
          <t>SD Academy/03_Woodify/03_Department_Handbooks</t>
        </is>
      </c>
      <c r="Q36" s="10" t="inlineStr">
        <is>
          <t>SDG_Woodify_Quality_Control_Handbook_L1-L5_V1.0.pdf</t>
        </is>
      </c>
      <c r="R36" s="11" t="n">
        <v>1</v>
      </c>
      <c r="S36" s="9" t="inlineStr">
        <is>
          <t>PDF Final Checked</t>
        </is>
      </c>
      <c r="T36" s="11" t="inlineStr">
        <is>
          <t>Medium</t>
        </is>
      </c>
      <c r="U36" s="11" t="inlineStr">
        <is>
          <t>Wave 4</t>
        </is>
      </c>
      <c r="V36" s="9" t="inlineStr">
        <is>
          <t>Annual</t>
        </is>
      </c>
      <c r="W36" s="13" t="n">
        <v>46478</v>
      </c>
      <c r="X36" s="10" t="inlineStr"/>
    </row>
    <row r="37">
      <c r="A37" s="14" t="inlineStr">
        <is>
          <t>WFY-DPT-11</t>
        </is>
      </c>
      <c r="B37" s="15" t="inlineStr">
        <is>
          <t>Warehouse Handbook</t>
        </is>
      </c>
      <c r="C37" s="14" t="inlineStr">
        <is>
          <t>Factory / Manufacturing Operations</t>
        </is>
      </c>
      <c r="D37" s="14" t="inlineStr">
        <is>
          <t>Warehouse</t>
        </is>
      </c>
      <c r="E37" s="14" t="inlineStr">
        <is>
          <t>Department Handbook</t>
        </is>
      </c>
      <c r="F37" s="16" t="inlineStr">
        <is>
          <t>L1-L5</t>
        </is>
      </c>
      <c r="G37" s="14" t="inlineStr">
        <is>
          <t>Internal</t>
        </is>
      </c>
      <c r="H37" s="14" t="inlineStr">
        <is>
          <t>Dept Head - WFY/Warehouse</t>
        </is>
      </c>
      <c r="I37" s="16" t="inlineStr">
        <is>
          <t>Yes</t>
        </is>
      </c>
      <c r="J37" s="16" t="inlineStr">
        <is>
          <t>No</t>
        </is>
      </c>
      <c r="K37" s="16" t="inlineStr">
        <is>
          <t>Yes</t>
        </is>
      </c>
      <c r="L37" s="16" t="inlineStr">
        <is>
          <t>Yes</t>
        </is>
      </c>
      <c r="M37" s="16" t="inlineStr">
        <is>
          <t>No</t>
        </is>
      </c>
      <c r="N37" s="16" t="inlineStr">
        <is>
          <t>-</t>
        </is>
      </c>
      <c r="O37" s="14" t="inlineStr">
        <is>
          <t>SDA-CRS-WFY-DPT-11</t>
        </is>
      </c>
      <c r="P37" s="15" t="inlineStr">
        <is>
          <t>SD Academy/03_Woodify/03_Department_Handbooks</t>
        </is>
      </c>
      <c r="Q37" s="15" t="inlineStr">
        <is>
          <t>SDG_Woodify_Warehouse_Handbook_L1-L5_V1.0.pdf</t>
        </is>
      </c>
      <c r="R37" s="16" t="n">
        <v>1</v>
      </c>
      <c r="S37" s="14" t="inlineStr">
        <is>
          <t>PDF Final Checked</t>
        </is>
      </c>
      <c r="T37" s="16" t="inlineStr">
        <is>
          <t>Medium</t>
        </is>
      </c>
      <c r="U37" s="16" t="inlineStr">
        <is>
          <t>Wave 4</t>
        </is>
      </c>
      <c r="V37" s="14" t="inlineStr">
        <is>
          <t>Annual</t>
        </is>
      </c>
      <c r="W37" s="17" t="n">
        <v>46478</v>
      </c>
      <c r="X37" s="15" t="inlineStr"/>
    </row>
    <row r="38">
      <c r="A38" s="9" t="inlineStr">
        <is>
          <t>WFY-DPT-12</t>
        </is>
      </c>
      <c r="B38" s="10" t="inlineStr">
        <is>
          <t>Logistics Handbook</t>
        </is>
      </c>
      <c r="C38" s="9" t="inlineStr">
        <is>
          <t>Factory / Manufacturing Operations</t>
        </is>
      </c>
      <c r="D38" s="9" t="inlineStr">
        <is>
          <t>Logistics</t>
        </is>
      </c>
      <c r="E38" s="9" t="inlineStr">
        <is>
          <t>Department Handbook</t>
        </is>
      </c>
      <c r="F38" s="11" t="inlineStr">
        <is>
          <t>L1-L5</t>
        </is>
      </c>
      <c r="G38" s="9" t="inlineStr">
        <is>
          <t>Internal</t>
        </is>
      </c>
      <c r="H38" s="9" t="inlineStr">
        <is>
          <t>Dept Head - WFY/Logistics</t>
        </is>
      </c>
      <c r="I38" s="11" t="inlineStr">
        <is>
          <t>Yes</t>
        </is>
      </c>
      <c r="J38" s="11" t="inlineStr">
        <is>
          <t>No</t>
        </is>
      </c>
      <c r="K38" s="11" t="inlineStr">
        <is>
          <t>Yes</t>
        </is>
      </c>
      <c r="L38" s="11" t="inlineStr">
        <is>
          <t>Yes</t>
        </is>
      </c>
      <c r="M38" s="11" t="inlineStr">
        <is>
          <t>No</t>
        </is>
      </c>
      <c r="N38" s="11" t="inlineStr">
        <is>
          <t>-</t>
        </is>
      </c>
      <c r="O38" s="9" t="inlineStr">
        <is>
          <t>SDA-CRS-WFY-DPT-12</t>
        </is>
      </c>
      <c r="P38" s="10" t="inlineStr">
        <is>
          <t>SD Academy/03_Woodify/03_Department_Handbooks</t>
        </is>
      </c>
      <c r="Q38" s="10" t="inlineStr">
        <is>
          <t>SDG_Woodify_Logistics_Handbook_L1-L5_V1.0.pdf</t>
        </is>
      </c>
      <c r="R38" s="11" t="n">
        <v>1</v>
      </c>
      <c r="S38" s="9" t="inlineStr">
        <is>
          <t>PDF Final Checked</t>
        </is>
      </c>
      <c r="T38" s="11" t="inlineStr">
        <is>
          <t>Medium</t>
        </is>
      </c>
      <c r="U38" s="11" t="inlineStr">
        <is>
          <t>Wave 4</t>
        </is>
      </c>
      <c r="V38" s="9" t="inlineStr">
        <is>
          <t>Annual</t>
        </is>
      </c>
      <c r="W38" s="13" t="n">
        <v>46478</v>
      </c>
      <c r="X38" s="10" t="inlineStr">
        <is>
          <t>Covers dispatch &amp; delivery SOP</t>
        </is>
      </c>
    </row>
    <row r="39">
      <c r="A39" s="14" t="inlineStr">
        <is>
          <t>WFY-DPT-13</t>
        </is>
      </c>
      <c r="B39" s="15" t="inlineStr">
        <is>
          <t>Maintenance Handbook</t>
        </is>
      </c>
      <c r="C39" s="14" t="inlineStr">
        <is>
          <t>Factory / Manufacturing Operations</t>
        </is>
      </c>
      <c r="D39" s="14" t="inlineStr">
        <is>
          <t>Maintenance</t>
        </is>
      </c>
      <c r="E39" s="14" t="inlineStr">
        <is>
          <t>Department Handbook</t>
        </is>
      </c>
      <c r="F39" s="16" t="inlineStr">
        <is>
          <t>L1-L5</t>
        </is>
      </c>
      <c r="G39" s="14" t="inlineStr">
        <is>
          <t>Internal</t>
        </is>
      </c>
      <c r="H39" s="14" t="inlineStr">
        <is>
          <t>Dept Head - WFY/Maintenance</t>
        </is>
      </c>
      <c r="I39" s="16" t="inlineStr">
        <is>
          <t>Yes</t>
        </is>
      </c>
      <c r="J39" s="16" t="inlineStr">
        <is>
          <t>No</t>
        </is>
      </c>
      <c r="K39" s="16" t="inlineStr">
        <is>
          <t>Yes</t>
        </is>
      </c>
      <c r="L39" s="16" t="inlineStr">
        <is>
          <t>Yes</t>
        </is>
      </c>
      <c r="M39" s="16" t="inlineStr">
        <is>
          <t>No</t>
        </is>
      </c>
      <c r="N39" s="16" t="inlineStr">
        <is>
          <t>-</t>
        </is>
      </c>
      <c r="O39" s="14" t="inlineStr">
        <is>
          <t>SDA-CRS-WFY-DPT-13</t>
        </is>
      </c>
      <c r="P39" s="15" t="inlineStr">
        <is>
          <t>SD Academy/03_Woodify/03_Department_Handbooks</t>
        </is>
      </c>
      <c r="Q39" s="15" t="inlineStr">
        <is>
          <t>SDG_Woodify_Maintenance_Handbook_L1-L5_V1.0.pdf</t>
        </is>
      </c>
      <c r="R39" s="16" t="n">
        <v>1</v>
      </c>
      <c r="S39" s="14" t="inlineStr">
        <is>
          <t>PDF Final Checked</t>
        </is>
      </c>
      <c r="T39" s="16" t="inlineStr">
        <is>
          <t>Medium</t>
        </is>
      </c>
      <c r="U39" s="16" t="inlineStr">
        <is>
          <t>Wave 4</t>
        </is>
      </c>
      <c r="V39" s="14" t="inlineStr">
        <is>
          <t>Annual</t>
        </is>
      </c>
      <c r="W39" s="17" t="n">
        <v>46478</v>
      </c>
      <c r="X39" s="15" t="inlineStr"/>
    </row>
    <row r="40">
      <c r="A40" s="9" t="inlineStr">
        <is>
          <t>WFY-DPT-14</t>
        </is>
      </c>
      <c r="B40" s="10" t="inlineStr">
        <is>
          <t>Factory EHS Handbook</t>
        </is>
      </c>
      <c r="C40" s="9" t="inlineStr">
        <is>
          <t>Factory / Manufacturing Operations</t>
        </is>
      </c>
      <c r="D40" s="9" t="inlineStr">
        <is>
          <t>EHS</t>
        </is>
      </c>
      <c r="E40" s="9" t="inlineStr">
        <is>
          <t>Department Handbook</t>
        </is>
      </c>
      <c r="F40" s="11" t="inlineStr">
        <is>
          <t>L1-L5</t>
        </is>
      </c>
      <c r="G40" s="9" t="inlineStr">
        <is>
          <t>Internal</t>
        </is>
      </c>
      <c r="H40" s="9" t="inlineStr">
        <is>
          <t>Dept Head - WFY/EHS</t>
        </is>
      </c>
      <c r="I40" s="11" t="inlineStr">
        <is>
          <t>Yes</t>
        </is>
      </c>
      <c r="J40" s="12" t="inlineStr">
        <is>
          <t>Yes</t>
        </is>
      </c>
      <c r="K40" s="11" t="inlineStr">
        <is>
          <t>Yes</t>
        </is>
      </c>
      <c r="L40" s="11" t="inlineStr">
        <is>
          <t>Yes</t>
        </is>
      </c>
      <c r="M40" s="18" t="inlineStr">
        <is>
          <t>Yes</t>
        </is>
      </c>
      <c r="N40" s="11" t="n">
        <v>80</v>
      </c>
      <c r="O40" s="9" t="inlineStr">
        <is>
          <t>SDA-CRS-WFY-DPT-14</t>
        </is>
      </c>
      <c r="P40" s="10" t="inlineStr">
        <is>
          <t>SD Academy/03_Woodify/03_Department_Handbooks</t>
        </is>
      </c>
      <c r="Q40" s="10" t="inlineStr">
        <is>
          <t>SDG_Woodify_Factory_EHS_Handbook_L1-L5_V1.0.pdf</t>
        </is>
      </c>
      <c r="R40" s="11" t="n">
        <v>1</v>
      </c>
      <c r="S40" s="9" t="inlineStr">
        <is>
          <t>PDF Final Checked</t>
        </is>
      </c>
      <c r="T40" s="11" t="inlineStr">
        <is>
          <t>Medium</t>
        </is>
      </c>
      <c r="U40" s="11" t="inlineStr">
        <is>
          <t>Wave 4</t>
        </is>
      </c>
      <c r="V40" s="9" t="inlineStr">
        <is>
          <t>Annual + on law change</t>
        </is>
      </c>
      <c r="W40" s="13" t="n">
        <v>46478</v>
      </c>
      <c r="X40" s="10" t="inlineStr">
        <is>
          <t>Factories Act 1948; wood-dust &amp; machine safety</t>
        </is>
      </c>
    </row>
    <row r="41">
      <c r="A41" s="14" t="inlineStr">
        <is>
          <t>WFY-DPT-15</t>
        </is>
      </c>
      <c r="B41" s="15" t="inlineStr">
        <is>
          <t>Installation Handbook</t>
        </is>
      </c>
      <c r="C41" s="14" t="inlineStr">
        <is>
          <t>Installation / Service / Warranty Operations</t>
        </is>
      </c>
      <c r="D41" s="14" t="inlineStr">
        <is>
          <t>Installation</t>
        </is>
      </c>
      <c r="E41" s="14" t="inlineStr">
        <is>
          <t>Department Handbook</t>
        </is>
      </c>
      <c r="F41" s="16" t="inlineStr">
        <is>
          <t>L1-L5</t>
        </is>
      </c>
      <c r="G41" s="14" t="inlineStr">
        <is>
          <t>Internal</t>
        </is>
      </c>
      <c r="H41" s="14" t="inlineStr">
        <is>
          <t>Dept Head - WFY/Installation</t>
        </is>
      </c>
      <c r="I41" s="16" t="inlineStr">
        <is>
          <t>Yes</t>
        </is>
      </c>
      <c r="J41" s="16" t="inlineStr">
        <is>
          <t>No</t>
        </is>
      </c>
      <c r="K41" s="16" t="inlineStr">
        <is>
          <t>Yes</t>
        </is>
      </c>
      <c r="L41" s="16" t="inlineStr">
        <is>
          <t>Yes</t>
        </is>
      </c>
      <c r="M41" s="16" t="inlineStr">
        <is>
          <t>No</t>
        </is>
      </c>
      <c r="N41" s="16" t="inlineStr">
        <is>
          <t>-</t>
        </is>
      </c>
      <c r="O41" s="14" t="inlineStr">
        <is>
          <t>SDA-CRS-WFY-DPT-15</t>
        </is>
      </c>
      <c r="P41" s="15" t="inlineStr">
        <is>
          <t>SD Academy/03_Woodify/03_Department_Handbooks</t>
        </is>
      </c>
      <c r="Q41" s="15" t="inlineStr">
        <is>
          <t>SDG_Woodify_Installation_Handbook_L1-L5_V1.0.pdf</t>
        </is>
      </c>
      <c r="R41" s="16" t="n">
        <v>1</v>
      </c>
      <c r="S41" s="14" t="inlineStr">
        <is>
          <t>PDF Final Checked</t>
        </is>
      </c>
      <c r="T41" s="16" t="inlineStr">
        <is>
          <t>Medium</t>
        </is>
      </c>
      <c r="U41" s="16" t="inlineStr">
        <is>
          <t>Wave 4</t>
        </is>
      </c>
      <c r="V41" s="14" t="inlineStr">
        <is>
          <t>Annual</t>
        </is>
      </c>
      <c r="W41" s="17" t="n">
        <v>46478</v>
      </c>
      <c r="X41" s="15" t="inlineStr"/>
    </row>
    <row r="42">
      <c r="A42" s="9" t="inlineStr">
        <is>
          <t>WFY-DPT-16</t>
        </is>
      </c>
      <c r="B42" s="10" t="inlineStr">
        <is>
          <t>Procurement Handbook</t>
        </is>
      </c>
      <c r="C42" s="9" t="inlineStr">
        <is>
          <t>Shared Woodify Operations</t>
        </is>
      </c>
      <c r="D42" s="9" t="inlineStr">
        <is>
          <t>Procurement</t>
        </is>
      </c>
      <c r="E42" s="9" t="inlineStr">
        <is>
          <t>Department Handbook</t>
        </is>
      </c>
      <c r="F42" s="11" t="inlineStr">
        <is>
          <t>L1-L5</t>
        </is>
      </c>
      <c r="G42" s="9" t="inlineStr">
        <is>
          <t>Internal</t>
        </is>
      </c>
      <c r="H42" s="9" t="inlineStr">
        <is>
          <t>Dept Head - WFY/Procurement</t>
        </is>
      </c>
      <c r="I42" s="11" t="inlineStr">
        <is>
          <t>Yes</t>
        </is>
      </c>
      <c r="J42" s="11" t="inlineStr">
        <is>
          <t>No</t>
        </is>
      </c>
      <c r="K42" s="11" t="inlineStr">
        <is>
          <t>Yes</t>
        </is>
      </c>
      <c r="L42" s="11" t="inlineStr">
        <is>
          <t>Yes</t>
        </is>
      </c>
      <c r="M42" s="11" t="inlineStr">
        <is>
          <t>No</t>
        </is>
      </c>
      <c r="N42" s="11" t="inlineStr">
        <is>
          <t>-</t>
        </is>
      </c>
      <c r="O42" s="9" t="inlineStr">
        <is>
          <t>SDA-CRS-WFY-DPT-16</t>
        </is>
      </c>
      <c r="P42" s="10" t="inlineStr">
        <is>
          <t>SD Academy/03_Woodify/03_Department_Handbooks</t>
        </is>
      </c>
      <c r="Q42" s="10" t="inlineStr">
        <is>
          <t>SDG_Woodify_Procurement_Handbook_L1-L5_V1.0.pdf</t>
        </is>
      </c>
      <c r="R42" s="11" t="n">
        <v>1</v>
      </c>
      <c r="S42" s="9" t="inlineStr">
        <is>
          <t>PDF Final Checked</t>
        </is>
      </c>
      <c r="T42" s="11" t="inlineStr">
        <is>
          <t>Medium</t>
        </is>
      </c>
      <c r="U42" s="11" t="inlineStr">
        <is>
          <t>Wave 4</t>
        </is>
      </c>
      <c r="V42" s="9" t="inlineStr">
        <is>
          <t>Annual</t>
        </is>
      </c>
      <c r="W42" s="13" t="n">
        <v>46478</v>
      </c>
      <c r="X42" s="10" t="inlineStr"/>
    </row>
    <row r="43">
      <c r="A43" s="14" t="inlineStr">
        <is>
          <t>WFY-SOP-04</t>
        </is>
      </c>
      <c r="B43" s="15" t="inlineStr">
        <is>
          <t>Material Standards Handbook</t>
        </is>
      </c>
      <c r="C43" s="14" t="inlineStr">
        <is>
          <t>Factory / Manufacturing Operations</t>
        </is>
      </c>
      <c r="D43" s="14" t="inlineStr">
        <is>
          <t>Quality</t>
        </is>
      </c>
      <c r="E43" s="14" t="inlineStr">
        <is>
          <t>SOP Handbook</t>
        </is>
      </c>
      <c r="F43" s="16" t="inlineStr">
        <is>
          <t>L2-L5</t>
        </is>
      </c>
      <c r="G43" s="14" t="inlineStr">
        <is>
          <t>Internal</t>
        </is>
      </c>
      <c r="H43" s="14" t="inlineStr">
        <is>
          <t>Dept Head - WFY/Quality</t>
        </is>
      </c>
      <c r="I43" s="16" t="inlineStr">
        <is>
          <t>Yes</t>
        </is>
      </c>
      <c r="J43" s="16" t="inlineStr">
        <is>
          <t>No</t>
        </is>
      </c>
      <c r="K43" s="16" t="inlineStr">
        <is>
          <t>Yes</t>
        </is>
      </c>
      <c r="L43" s="16" t="inlineStr">
        <is>
          <t>No</t>
        </is>
      </c>
      <c r="M43" s="16" t="inlineStr">
        <is>
          <t>No</t>
        </is>
      </c>
      <c r="N43" s="16" t="inlineStr">
        <is>
          <t>-</t>
        </is>
      </c>
      <c r="O43" s="14" t="inlineStr">
        <is>
          <t>SDA-CRS-WFY-SOP-04</t>
        </is>
      </c>
      <c r="P43" s="15" t="inlineStr">
        <is>
          <t>SD Academy/03_Woodify/04_SOP_Handbooks</t>
        </is>
      </c>
      <c r="Q43" s="15" t="inlineStr">
        <is>
          <t>SDG_Woodify_Material_Standards_Handbook_L2-L5_V1.0.pdf</t>
        </is>
      </c>
      <c r="R43" s="16" t="n">
        <v>1</v>
      </c>
      <c r="S43" s="14" t="inlineStr">
        <is>
          <t>PDF Final Checked</t>
        </is>
      </c>
      <c r="T43" s="16" t="inlineStr">
        <is>
          <t>Medium</t>
        </is>
      </c>
      <c r="U43" s="16" t="inlineStr">
        <is>
          <t>Wave 4</t>
        </is>
      </c>
      <c r="V43" s="14" t="inlineStr">
        <is>
          <t>Half-yearly</t>
        </is>
      </c>
      <c r="W43" s="17" t="n">
        <v>46388</v>
      </c>
      <c r="X43" s="15" t="inlineStr">
        <is>
          <t>Board/hardware/finish standards for all divisions</t>
        </is>
      </c>
    </row>
    <row r="44">
      <c r="A44" s="9" t="inlineStr">
        <is>
          <t>WFY-SOP-05</t>
        </is>
      </c>
      <c r="B44" s="10" t="inlineStr">
        <is>
          <t>Factory Quality Gate Handbook</t>
        </is>
      </c>
      <c r="C44" s="9" t="inlineStr">
        <is>
          <t>Factory / Manufacturing Operations</t>
        </is>
      </c>
      <c r="D44" s="9" t="inlineStr">
        <is>
          <t>Quality</t>
        </is>
      </c>
      <c r="E44" s="9" t="inlineStr">
        <is>
          <t>SOP Handbook</t>
        </is>
      </c>
      <c r="F44" s="11" t="inlineStr">
        <is>
          <t>L2-L5</t>
        </is>
      </c>
      <c r="G44" s="9" t="inlineStr">
        <is>
          <t>Internal</t>
        </is>
      </c>
      <c r="H44" s="9" t="inlineStr">
        <is>
          <t>Dept Head - WFY/Quality</t>
        </is>
      </c>
      <c r="I44" s="11" t="inlineStr">
        <is>
          <t>Yes</t>
        </is>
      </c>
      <c r="J44" s="11" t="inlineStr">
        <is>
          <t>No</t>
        </is>
      </c>
      <c r="K44" s="11" t="inlineStr">
        <is>
          <t>Yes</t>
        </is>
      </c>
      <c r="L44" s="11" t="inlineStr">
        <is>
          <t>No</t>
        </is>
      </c>
      <c r="M44" s="11" t="inlineStr">
        <is>
          <t>No</t>
        </is>
      </c>
      <c r="N44" s="11" t="inlineStr">
        <is>
          <t>-</t>
        </is>
      </c>
      <c r="O44" s="9" t="inlineStr">
        <is>
          <t>SDA-CRS-WFY-SOP-05</t>
        </is>
      </c>
      <c r="P44" s="10" t="inlineStr">
        <is>
          <t>SD Academy/03_Woodify/04_SOP_Handbooks</t>
        </is>
      </c>
      <c r="Q44" s="10" t="inlineStr">
        <is>
          <t>SDG_Woodify_Factory_Quality_Gate_Handbook_L2-L5_V1.0.pdf</t>
        </is>
      </c>
      <c r="R44" s="11" t="n">
        <v>1</v>
      </c>
      <c r="S44" s="9" t="inlineStr">
        <is>
          <t>PDF Final Checked</t>
        </is>
      </c>
      <c r="T44" s="11" t="inlineStr">
        <is>
          <t>Medium</t>
        </is>
      </c>
      <c r="U44" s="11" t="inlineStr">
        <is>
          <t>Wave 4</t>
        </is>
      </c>
      <c r="V44" s="9" t="inlineStr">
        <is>
          <t>Half-yearly</t>
        </is>
      </c>
      <c r="W44" s="13" t="n">
        <v>46388</v>
      </c>
      <c r="X44" s="10" t="inlineStr"/>
    </row>
    <row r="45">
      <c r="A45" s="14" t="inlineStr">
        <is>
          <t>WFY-SOP-06</t>
        </is>
      </c>
      <c r="B45" s="15" t="inlineStr">
        <is>
          <t>Installation Site Readiness Handbook</t>
        </is>
      </c>
      <c r="C45" s="14" t="inlineStr">
        <is>
          <t>Installation / Service / Warranty Operations</t>
        </is>
      </c>
      <c r="D45" s="14" t="inlineStr">
        <is>
          <t>Installation</t>
        </is>
      </c>
      <c r="E45" s="14" t="inlineStr">
        <is>
          <t>SOP Handbook</t>
        </is>
      </c>
      <c r="F45" s="16" t="inlineStr">
        <is>
          <t>L2-L5</t>
        </is>
      </c>
      <c r="G45" s="14" t="inlineStr">
        <is>
          <t>Internal</t>
        </is>
      </c>
      <c r="H45" s="14" t="inlineStr">
        <is>
          <t>Dept Head - WFY/Installation</t>
        </is>
      </c>
      <c r="I45" s="16" t="inlineStr">
        <is>
          <t>Yes</t>
        </is>
      </c>
      <c r="J45" s="16" t="inlineStr">
        <is>
          <t>No</t>
        </is>
      </c>
      <c r="K45" s="16" t="inlineStr">
        <is>
          <t>Yes</t>
        </is>
      </c>
      <c r="L45" s="16" t="inlineStr">
        <is>
          <t>No</t>
        </is>
      </c>
      <c r="M45" s="16" t="inlineStr">
        <is>
          <t>No</t>
        </is>
      </c>
      <c r="N45" s="16" t="inlineStr">
        <is>
          <t>-</t>
        </is>
      </c>
      <c r="O45" s="14" t="inlineStr">
        <is>
          <t>SDA-CRS-WFY-SOP-06</t>
        </is>
      </c>
      <c r="P45" s="15" t="inlineStr">
        <is>
          <t>SD Academy/03_Woodify/04_SOP_Handbooks</t>
        </is>
      </c>
      <c r="Q45" s="15" t="inlineStr">
        <is>
          <t>SDG_Woodify_Installation_Site_Readiness_Handbook_L2-L5_V1.0.pdf</t>
        </is>
      </c>
      <c r="R45" s="16" t="n">
        <v>1</v>
      </c>
      <c r="S45" s="14" t="inlineStr">
        <is>
          <t>PDF Final Checked</t>
        </is>
      </c>
      <c r="T45" s="16" t="inlineStr">
        <is>
          <t>Medium</t>
        </is>
      </c>
      <c r="U45" s="16" t="inlineStr">
        <is>
          <t>Wave 4</t>
        </is>
      </c>
      <c r="V45" s="14" t="inlineStr">
        <is>
          <t>Half-yearly</t>
        </is>
      </c>
      <c r="W45" s="17" t="n">
        <v>46388</v>
      </c>
      <c r="X45" s="15" t="inlineStr"/>
    </row>
    <row r="46">
      <c r="A46" s="9" t="inlineStr">
        <is>
          <t>WFY-SOP-07</t>
        </is>
      </c>
      <c r="B46" s="10" t="inlineStr">
        <is>
          <t>Warranty, Service &amp; Complaint Resolution Handbook</t>
        </is>
      </c>
      <c r="C46" s="9" t="inlineStr">
        <is>
          <t>Installation / Service / Warranty Operations</t>
        </is>
      </c>
      <c r="D46" s="9" t="inlineStr">
        <is>
          <t>Service</t>
        </is>
      </c>
      <c r="E46" s="9" t="inlineStr">
        <is>
          <t>SOP Handbook</t>
        </is>
      </c>
      <c r="F46" s="11" t="inlineStr">
        <is>
          <t>L2-L5</t>
        </is>
      </c>
      <c r="G46" s="9" t="inlineStr">
        <is>
          <t>Internal</t>
        </is>
      </c>
      <c r="H46" s="9" t="inlineStr">
        <is>
          <t>Dept Head - WFY/Service</t>
        </is>
      </c>
      <c r="I46" s="11" t="inlineStr">
        <is>
          <t>Yes</t>
        </is>
      </c>
      <c r="J46" s="12" t="inlineStr">
        <is>
          <t>Yes</t>
        </is>
      </c>
      <c r="K46" s="11" t="inlineStr">
        <is>
          <t>Yes</t>
        </is>
      </c>
      <c r="L46" s="11" t="inlineStr">
        <is>
          <t>No</t>
        </is>
      </c>
      <c r="M46" s="11" t="inlineStr">
        <is>
          <t>No</t>
        </is>
      </c>
      <c r="N46" s="11" t="inlineStr">
        <is>
          <t>-</t>
        </is>
      </c>
      <c r="O46" s="9" t="inlineStr">
        <is>
          <t>SDA-CRS-WFY-SOP-07</t>
        </is>
      </c>
      <c r="P46" s="10" t="inlineStr">
        <is>
          <t>SD Academy/03_Woodify/04_SOP_Handbooks</t>
        </is>
      </c>
      <c r="Q46" s="10" t="inlineStr">
        <is>
          <t>SDG_Woodify_Warranty_Service_Complaint_Resolution_Handbook_L2-L5_V1.0.pdf</t>
        </is>
      </c>
      <c r="R46" s="11" t="n">
        <v>1</v>
      </c>
      <c r="S46" s="9" t="inlineStr">
        <is>
          <t>PDF Final Checked</t>
        </is>
      </c>
      <c r="T46" s="11" t="inlineStr">
        <is>
          <t>Medium</t>
        </is>
      </c>
      <c r="U46" s="11" t="inlineStr">
        <is>
          <t>Wave 4</t>
        </is>
      </c>
      <c r="V46" s="9" t="inlineStr">
        <is>
          <t>Annual + on law change</t>
        </is>
      </c>
      <c r="W46" s="13" t="n">
        <v>46478</v>
      </c>
      <c r="X46" s="10" t="inlineStr">
        <is>
          <t>Consumer Protection Act 2019 aligned</t>
        </is>
      </c>
    </row>
    <row r="47">
      <c r="A47" s="14" t="inlineStr">
        <is>
          <t>WFY-DPT-17</t>
        </is>
      </c>
      <c r="B47" s="15" t="inlineStr">
        <is>
          <t>Accounts Handbook</t>
        </is>
      </c>
      <c r="C47" s="14" t="inlineStr">
        <is>
          <t>Shared Woodify Operations</t>
        </is>
      </c>
      <c r="D47" s="14" t="inlineStr">
        <is>
          <t>Accounts</t>
        </is>
      </c>
      <c r="E47" s="14" t="inlineStr">
        <is>
          <t>Department Handbook</t>
        </is>
      </c>
      <c r="F47" s="16" t="inlineStr">
        <is>
          <t>L2-L5</t>
        </is>
      </c>
      <c r="G47" s="14" t="inlineStr">
        <is>
          <t>Internal</t>
        </is>
      </c>
      <c r="H47" s="14" t="inlineStr">
        <is>
          <t>Dept Head - WFY/Accounts</t>
        </is>
      </c>
      <c r="I47" s="16" t="inlineStr">
        <is>
          <t>Yes</t>
        </is>
      </c>
      <c r="J47" s="16" t="inlineStr">
        <is>
          <t>No</t>
        </is>
      </c>
      <c r="K47" s="16" t="inlineStr">
        <is>
          <t>Yes</t>
        </is>
      </c>
      <c r="L47" s="16" t="inlineStr">
        <is>
          <t>Yes</t>
        </is>
      </c>
      <c r="M47" s="16" t="inlineStr">
        <is>
          <t>No</t>
        </is>
      </c>
      <c r="N47" s="16" t="inlineStr">
        <is>
          <t>-</t>
        </is>
      </c>
      <c r="O47" s="14" t="inlineStr">
        <is>
          <t>SDA-CRS-WFY-DPT-17</t>
        </is>
      </c>
      <c r="P47" s="15" t="inlineStr">
        <is>
          <t>SD Academy/03_Woodify/03_Department_Handbooks</t>
        </is>
      </c>
      <c r="Q47" s="15" t="inlineStr">
        <is>
          <t>SDG_Woodify_Accounts_Handbook_L2-L5_V1.0.pdf</t>
        </is>
      </c>
      <c r="R47" s="16" t="n">
        <v>1</v>
      </c>
      <c r="S47" s="14" t="inlineStr">
        <is>
          <t>PDF Final Checked</t>
        </is>
      </c>
      <c r="T47" s="16" t="inlineStr">
        <is>
          <t>Medium</t>
        </is>
      </c>
      <c r="U47" s="16" t="inlineStr">
        <is>
          <t>Wave 5</t>
        </is>
      </c>
      <c r="V47" s="14" t="inlineStr">
        <is>
          <t>Annual</t>
        </is>
      </c>
      <c r="W47" s="17" t="n">
        <v>46478</v>
      </c>
      <c r="X47" s="15" t="inlineStr"/>
    </row>
    <row r="48">
      <c r="A48" s="9" t="inlineStr">
        <is>
          <t>WFY-DPT-18</t>
        </is>
      </c>
      <c r="B48" s="10" t="inlineStr">
        <is>
          <t>Finance Handbook</t>
        </is>
      </c>
      <c r="C48" s="9" t="inlineStr">
        <is>
          <t>Shared Woodify Operations</t>
        </is>
      </c>
      <c r="D48" s="9" t="inlineStr">
        <is>
          <t>Finance</t>
        </is>
      </c>
      <c r="E48" s="9" t="inlineStr">
        <is>
          <t>Department Handbook</t>
        </is>
      </c>
      <c r="F48" s="11" t="inlineStr">
        <is>
          <t>L2-L5</t>
        </is>
      </c>
      <c r="G48" s="9" t="inlineStr">
        <is>
          <t>Internal</t>
        </is>
      </c>
      <c r="H48" s="9" t="inlineStr">
        <is>
          <t>Dept Head - WFY/Finance</t>
        </is>
      </c>
      <c r="I48" s="11" t="inlineStr">
        <is>
          <t>Yes</t>
        </is>
      </c>
      <c r="J48" s="12" t="inlineStr">
        <is>
          <t>Yes</t>
        </is>
      </c>
      <c r="K48" s="11" t="inlineStr">
        <is>
          <t>Yes</t>
        </is>
      </c>
      <c r="L48" s="11" t="inlineStr">
        <is>
          <t>Yes</t>
        </is>
      </c>
      <c r="M48" s="11" t="inlineStr">
        <is>
          <t>No</t>
        </is>
      </c>
      <c r="N48" s="11" t="inlineStr">
        <is>
          <t>-</t>
        </is>
      </c>
      <c r="O48" s="9" t="inlineStr">
        <is>
          <t>SDA-CRS-WFY-DPT-18</t>
        </is>
      </c>
      <c r="P48" s="10" t="inlineStr">
        <is>
          <t>SD Academy/03_Woodify/03_Department_Handbooks</t>
        </is>
      </c>
      <c r="Q48" s="10" t="inlineStr">
        <is>
          <t>SDG_Woodify_Finance_Handbook_L2-L5_V1.0.pdf</t>
        </is>
      </c>
      <c r="R48" s="11" t="n">
        <v>1</v>
      </c>
      <c r="S48" s="9" t="inlineStr">
        <is>
          <t>PDF Final Checked</t>
        </is>
      </c>
      <c r="T48" s="11" t="inlineStr">
        <is>
          <t>Medium</t>
        </is>
      </c>
      <c r="U48" s="11" t="inlineStr">
        <is>
          <t>Wave 5</t>
        </is>
      </c>
      <c r="V48" s="9" t="inlineStr">
        <is>
          <t>Annual + on law change</t>
        </is>
      </c>
      <c r="W48" s="13" t="n">
        <v>46478</v>
      </c>
      <c r="X48" s="10" t="inlineStr"/>
    </row>
    <row r="49">
      <c r="A49" s="14" t="inlineStr">
        <is>
          <t>WFY-DPT-19</t>
        </is>
      </c>
      <c r="B49" s="15" t="inlineStr">
        <is>
          <t>HR Handbook</t>
        </is>
      </c>
      <c r="C49" s="14" t="inlineStr">
        <is>
          <t>Shared Woodify Operations</t>
        </is>
      </c>
      <c r="D49" s="14" t="inlineStr">
        <is>
          <t>HR</t>
        </is>
      </c>
      <c r="E49" s="14" t="inlineStr">
        <is>
          <t>Department Handbook</t>
        </is>
      </c>
      <c r="F49" s="16" t="inlineStr">
        <is>
          <t>L2-L5</t>
        </is>
      </c>
      <c r="G49" s="14" t="inlineStr">
        <is>
          <t>Internal</t>
        </is>
      </c>
      <c r="H49" s="14" t="inlineStr">
        <is>
          <t>Dept Head - WFY/HR</t>
        </is>
      </c>
      <c r="I49" s="16" t="inlineStr">
        <is>
          <t>Yes</t>
        </is>
      </c>
      <c r="J49" s="16" t="inlineStr">
        <is>
          <t>No</t>
        </is>
      </c>
      <c r="K49" s="16" t="inlineStr">
        <is>
          <t>Yes</t>
        </is>
      </c>
      <c r="L49" s="16" t="inlineStr">
        <is>
          <t>Yes</t>
        </is>
      </c>
      <c r="M49" s="16" t="inlineStr">
        <is>
          <t>No</t>
        </is>
      </c>
      <c r="N49" s="16" t="inlineStr">
        <is>
          <t>-</t>
        </is>
      </c>
      <c r="O49" s="14" t="inlineStr">
        <is>
          <t>SDA-CRS-WFY-DPT-19</t>
        </is>
      </c>
      <c r="P49" s="15" t="inlineStr">
        <is>
          <t>SD Academy/03_Woodify/03_Department_Handbooks</t>
        </is>
      </c>
      <c r="Q49" s="15" t="inlineStr">
        <is>
          <t>SDG_Woodify_HR_Handbook_L2-L5_V1.0.pdf</t>
        </is>
      </c>
      <c r="R49" s="16" t="n">
        <v>1</v>
      </c>
      <c r="S49" s="14" t="inlineStr">
        <is>
          <t>PDF Final Checked</t>
        </is>
      </c>
      <c r="T49" s="16" t="inlineStr">
        <is>
          <t>Medium</t>
        </is>
      </c>
      <c r="U49" s="16" t="inlineStr">
        <is>
          <t>Wave 5</t>
        </is>
      </c>
      <c r="V49" s="14" t="inlineStr">
        <is>
          <t>Annual</t>
        </is>
      </c>
      <c r="W49" s="17" t="n">
        <v>46478</v>
      </c>
      <c r="X49" s="15" t="inlineStr"/>
    </row>
    <row r="50">
      <c r="A50" s="9" t="inlineStr">
        <is>
          <t>WFY-DPT-20</t>
        </is>
      </c>
      <c r="B50" s="10" t="inlineStr">
        <is>
          <t>Admin Handbook</t>
        </is>
      </c>
      <c r="C50" s="9" t="inlineStr">
        <is>
          <t>Shared Woodify Operations</t>
        </is>
      </c>
      <c r="D50" s="9" t="inlineStr">
        <is>
          <t>Admin</t>
        </is>
      </c>
      <c r="E50" s="9" t="inlineStr">
        <is>
          <t>Department Handbook</t>
        </is>
      </c>
      <c r="F50" s="11" t="inlineStr">
        <is>
          <t>L2-L5</t>
        </is>
      </c>
      <c r="G50" s="9" t="inlineStr">
        <is>
          <t>Internal</t>
        </is>
      </c>
      <c r="H50" s="9" t="inlineStr">
        <is>
          <t>Dept Head - WFY/Admin</t>
        </is>
      </c>
      <c r="I50" s="11" t="inlineStr">
        <is>
          <t>Yes</t>
        </is>
      </c>
      <c r="J50" s="11" t="inlineStr">
        <is>
          <t>No</t>
        </is>
      </c>
      <c r="K50" s="11" t="inlineStr">
        <is>
          <t>Yes</t>
        </is>
      </c>
      <c r="L50" s="11" t="inlineStr">
        <is>
          <t>Yes</t>
        </is>
      </c>
      <c r="M50" s="11" t="inlineStr">
        <is>
          <t>No</t>
        </is>
      </c>
      <c r="N50" s="11" t="inlineStr">
        <is>
          <t>-</t>
        </is>
      </c>
      <c r="O50" s="9" t="inlineStr">
        <is>
          <t>SDA-CRS-WFY-DPT-20</t>
        </is>
      </c>
      <c r="P50" s="10" t="inlineStr">
        <is>
          <t>SD Academy/03_Woodify/03_Department_Handbooks</t>
        </is>
      </c>
      <c r="Q50" s="10" t="inlineStr">
        <is>
          <t>SDG_Woodify_Admin_Handbook_L2-L5_V1.0.pdf</t>
        </is>
      </c>
      <c r="R50" s="11" t="n">
        <v>1</v>
      </c>
      <c r="S50" s="9" t="inlineStr">
        <is>
          <t>PDF Final Checked</t>
        </is>
      </c>
      <c r="T50" s="11" t="inlineStr">
        <is>
          <t>Medium</t>
        </is>
      </c>
      <c r="U50" s="11" t="inlineStr">
        <is>
          <t>Wave 5</t>
        </is>
      </c>
      <c r="V50" s="9" t="inlineStr">
        <is>
          <t>Annual</t>
        </is>
      </c>
      <c r="W50" s="13" t="n">
        <v>46478</v>
      </c>
      <c r="X50" s="10" t="inlineStr"/>
    </row>
    <row r="51">
      <c r="A51" s="14" t="inlineStr">
        <is>
          <t>WFY-DPT-21</t>
        </is>
      </c>
      <c r="B51" s="15" t="inlineStr">
        <is>
          <t>IT Handbook</t>
        </is>
      </c>
      <c r="C51" s="14" t="inlineStr">
        <is>
          <t>Shared Woodify Operations</t>
        </is>
      </c>
      <c r="D51" s="14" t="inlineStr">
        <is>
          <t>IT</t>
        </is>
      </c>
      <c r="E51" s="14" t="inlineStr">
        <is>
          <t>Department Handbook</t>
        </is>
      </c>
      <c r="F51" s="16" t="inlineStr">
        <is>
          <t>L2-L5</t>
        </is>
      </c>
      <c r="G51" s="14" t="inlineStr">
        <is>
          <t>Internal</t>
        </is>
      </c>
      <c r="H51" s="14" t="inlineStr">
        <is>
          <t>Dept Head - WFY/IT</t>
        </is>
      </c>
      <c r="I51" s="16" t="inlineStr">
        <is>
          <t>Yes</t>
        </is>
      </c>
      <c r="J51" s="16" t="inlineStr">
        <is>
          <t>No</t>
        </is>
      </c>
      <c r="K51" s="16" t="inlineStr">
        <is>
          <t>Yes</t>
        </is>
      </c>
      <c r="L51" s="16" t="inlineStr">
        <is>
          <t>Yes</t>
        </is>
      </c>
      <c r="M51" s="16" t="inlineStr">
        <is>
          <t>No</t>
        </is>
      </c>
      <c r="N51" s="16" t="inlineStr">
        <is>
          <t>-</t>
        </is>
      </c>
      <c r="O51" s="14" t="inlineStr">
        <is>
          <t>SDA-CRS-WFY-DPT-21</t>
        </is>
      </c>
      <c r="P51" s="15" t="inlineStr">
        <is>
          <t>SD Academy/03_Woodify/03_Department_Handbooks</t>
        </is>
      </c>
      <c r="Q51" s="15" t="inlineStr">
        <is>
          <t>SDG_Woodify_IT_Handbook_L2-L5_V1.0.pdf</t>
        </is>
      </c>
      <c r="R51" s="16" t="n">
        <v>1</v>
      </c>
      <c r="S51" s="14" t="inlineStr">
        <is>
          <t>PDF Final Checked</t>
        </is>
      </c>
      <c r="T51" s="16" t="inlineStr">
        <is>
          <t>Medium</t>
        </is>
      </c>
      <c r="U51" s="16" t="inlineStr">
        <is>
          <t>Wave 5</t>
        </is>
      </c>
      <c r="V51" s="14" t="inlineStr">
        <is>
          <t>Annual</t>
        </is>
      </c>
      <c r="W51" s="17" t="n">
        <v>46478</v>
      </c>
      <c r="X51" s="15" t="inlineStr"/>
    </row>
    <row r="52">
      <c r="A52" s="9" t="inlineStr">
        <is>
          <t>WFY-LDR-01</t>
        </is>
      </c>
      <c r="B52" s="10" t="inlineStr">
        <is>
          <t>Woodify Leadership Handbook</t>
        </is>
      </c>
      <c r="C52" s="9" t="inlineStr">
        <is>
          <t>Shared Woodify Operations</t>
        </is>
      </c>
      <c r="D52" s="9" t="inlineStr">
        <is>
          <t>Leadership</t>
        </is>
      </c>
      <c r="E52" s="9" t="inlineStr">
        <is>
          <t>Leadership Handbook</t>
        </is>
      </c>
      <c r="F52" s="11" t="inlineStr">
        <is>
          <t>L4-L5</t>
        </is>
      </c>
      <c r="G52" s="9" t="inlineStr">
        <is>
          <t>Restricted</t>
        </is>
      </c>
      <c r="H52" s="9" t="inlineStr">
        <is>
          <t>Brand Head - Shared Woodify Operations</t>
        </is>
      </c>
      <c r="I52" s="11" t="inlineStr">
        <is>
          <t>Yes</t>
        </is>
      </c>
      <c r="J52" s="11" t="inlineStr">
        <is>
          <t>No</t>
        </is>
      </c>
      <c r="K52" s="11" t="inlineStr">
        <is>
          <t>Yes</t>
        </is>
      </c>
      <c r="L52" s="11" t="inlineStr">
        <is>
          <t>Yes</t>
        </is>
      </c>
      <c r="M52" s="11" t="inlineStr">
        <is>
          <t>No</t>
        </is>
      </c>
      <c r="N52" s="11" t="inlineStr">
        <is>
          <t>-</t>
        </is>
      </c>
      <c r="O52" s="9" t="inlineStr">
        <is>
          <t>SDA-CRS-WFY-LDR-01</t>
        </is>
      </c>
      <c r="P52" s="10" t="inlineStr">
        <is>
          <t>SD Academy/03_Woodify/06_Management_Handbooks</t>
        </is>
      </c>
      <c r="Q52" s="10" t="inlineStr">
        <is>
          <t>SDG_Woodify_Leadership_Handbook_L4-L5_V1.0.pdf</t>
        </is>
      </c>
      <c r="R52" s="11" t="n">
        <v>1</v>
      </c>
      <c r="S52" s="9" t="inlineStr">
        <is>
          <t>PDF Final Checked</t>
        </is>
      </c>
      <c r="T52" s="11" t="inlineStr">
        <is>
          <t>High</t>
        </is>
      </c>
      <c r="U52" s="11" t="inlineStr">
        <is>
          <t>Wave 6</t>
        </is>
      </c>
      <c r="V52" s="9" t="inlineStr">
        <is>
          <t>Annual</t>
        </is>
      </c>
      <c r="W52" s="13" t="n">
        <v>46478</v>
      </c>
      <c r="X52" s="10" t="inlineStr"/>
    </row>
    <row r="53">
      <c r="A53" s="14" t="inlineStr">
        <is>
          <t>WFY-MGT-01</t>
        </is>
      </c>
      <c r="B53" s="15" t="inlineStr">
        <is>
          <t>Woodify Management Handbook</t>
        </is>
      </c>
      <c r="C53" s="14" t="inlineStr">
        <is>
          <t>Shared Woodify Operations</t>
        </is>
      </c>
      <c r="D53" s="14" t="inlineStr">
        <is>
          <t>Management</t>
        </is>
      </c>
      <c r="E53" s="14" t="inlineStr">
        <is>
          <t>Management Handbook</t>
        </is>
      </c>
      <c r="F53" s="16" t="inlineStr">
        <is>
          <t>L4-L5</t>
        </is>
      </c>
      <c r="G53" s="14" t="inlineStr">
        <is>
          <t>Restricted</t>
        </is>
      </c>
      <c r="H53" s="14" t="inlineStr">
        <is>
          <t>Brand Head - Shared Woodify Operations</t>
        </is>
      </c>
      <c r="I53" s="16" t="inlineStr">
        <is>
          <t>Yes</t>
        </is>
      </c>
      <c r="J53" s="16" t="inlineStr">
        <is>
          <t>No</t>
        </is>
      </c>
      <c r="K53" s="16" t="inlineStr">
        <is>
          <t>Yes</t>
        </is>
      </c>
      <c r="L53" s="16" t="inlineStr">
        <is>
          <t>Yes</t>
        </is>
      </c>
      <c r="M53" s="16" t="inlineStr">
        <is>
          <t>No</t>
        </is>
      </c>
      <c r="N53" s="16" t="inlineStr">
        <is>
          <t>-</t>
        </is>
      </c>
      <c r="O53" s="14" t="inlineStr">
        <is>
          <t>SDA-CRS-WFY-MGT-01</t>
        </is>
      </c>
      <c r="P53" s="15" t="inlineStr">
        <is>
          <t>SD Academy/03_Woodify/06_Management_Handbooks</t>
        </is>
      </c>
      <c r="Q53" s="15" t="inlineStr">
        <is>
          <t>SDG_Woodify_Management_Handbook_L4-L5_V1.0.pdf</t>
        </is>
      </c>
      <c r="R53" s="16" t="n">
        <v>1</v>
      </c>
      <c r="S53" s="14" t="inlineStr">
        <is>
          <t>PDF Final Checked</t>
        </is>
      </c>
      <c r="T53" s="16" t="inlineStr">
        <is>
          <t>High</t>
        </is>
      </c>
      <c r="U53" s="16" t="inlineStr">
        <is>
          <t>Wave 6</t>
        </is>
      </c>
      <c r="V53" s="14" t="inlineStr">
        <is>
          <t>Annual</t>
        </is>
      </c>
      <c r="W53" s="17" t="n">
        <v>46478</v>
      </c>
      <c r="X53" s="15" t="inlineStr">
        <is>
          <t>One management book for all Woodify divisions (WFH/TSK duplicates removed)</t>
        </is>
      </c>
    </row>
    <row r="54">
      <c r="A54" s="9" t="inlineStr">
        <is>
          <t>TSK-SOP-01</t>
        </is>
      </c>
      <c r="B54" s="10" t="inlineStr">
        <is>
          <t>Taskon Product Catalogue &amp; Specification Handbook</t>
        </is>
      </c>
      <c r="C54" s="9" t="inlineStr">
        <is>
          <t>Taskon</t>
        </is>
      </c>
      <c r="D54" s="9" t="inlineStr">
        <is>
          <t>Product</t>
        </is>
      </c>
      <c r="E54" s="9" t="inlineStr">
        <is>
          <t>SOP Handbook</t>
        </is>
      </c>
      <c r="F54" s="11" t="inlineStr">
        <is>
          <t>L2-L5</t>
        </is>
      </c>
      <c r="G54" s="9" t="inlineStr">
        <is>
          <t>Internal</t>
        </is>
      </c>
      <c r="H54" s="9" t="inlineStr">
        <is>
          <t>Dept Head - TSK/Product</t>
        </is>
      </c>
      <c r="I54" s="11" t="inlineStr">
        <is>
          <t>Yes</t>
        </is>
      </c>
      <c r="J54" s="11" t="inlineStr">
        <is>
          <t>No</t>
        </is>
      </c>
      <c r="K54" s="11" t="inlineStr">
        <is>
          <t>Yes</t>
        </is>
      </c>
      <c r="L54" s="11" t="inlineStr">
        <is>
          <t>No</t>
        </is>
      </c>
      <c r="M54" s="11" t="inlineStr">
        <is>
          <t>No</t>
        </is>
      </c>
      <c r="N54" s="11" t="inlineStr">
        <is>
          <t>-</t>
        </is>
      </c>
      <c r="O54" s="9" t="inlineStr">
        <is>
          <t>SDA-CRS-TSK-SOP-01</t>
        </is>
      </c>
      <c r="P54" s="10" t="inlineStr">
        <is>
          <t>SD Academy/03_Woodify/04_SOP_Handbooks</t>
        </is>
      </c>
      <c r="Q54" s="10" t="inlineStr">
        <is>
          <t>SDG_Woodify_Taskon_Product_Catalogue_Specification_Handbook_L2-L5_V1.0.pdf</t>
        </is>
      </c>
      <c r="R54" s="11" t="n">
        <v>1</v>
      </c>
      <c r="S54" s="9" t="inlineStr">
        <is>
          <t>PDF Final Checked</t>
        </is>
      </c>
      <c r="T54" s="11" t="inlineStr">
        <is>
          <t>Medium</t>
        </is>
      </c>
      <c r="U54" s="11" t="inlineStr">
        <is>
          <t>Wave 7</t>
        </is>
      </c>
      <c r="V54" s="9" t="inlineStr">
        <is>
          <t>Half-yearly</t>
        </is>
      </c>
      <c r="W54" s="13" t="n">
        <v>46388</v>
      </c>
      <c r="X54" s="10" t="inlineStr"/>
    </row>
    <row r="55">
      <c r="A55" s="14" t="inlineStr">
        <is>
          <t>TSK-SOP-02</t>
        </is>
      </c>
      <c r="B55" s="15" t="inlineStr">
        <is>
          <t>Taskon Warranty &amp; Service Handbook</t>
        </is>
      </c>
      <c r="C55" s="14" t="inlineStr">
        <is>
          <t>Taskon</t>
        </is>
      </c>
      <c r="D55" s="14" t="inlineStr">
        <is>
          <t>Service</t>
        </is>
      </c>
      <c r="E55" s="14" t="inlineStr">
        <is>
          <t>SOP Handbook</t>
        </is>
      </c>
      <c r="F55" s="16" t="inlineStr">
        <is>
          <t>L2-L5</t>
        </is>
      </c>
      <c r="G55" s="14" t="inlineStr">
        <is>
          <t>Internal</t>
        </is>
      </c>
      <c r="H55" s="14" t="inlineStr">
        <is>
          <t>Dept Head - TSK/Service</t>
        </is>
      </c>
      <c r="I55" s="16" t="inlineStr">
        <is>
          <t>Yes</t>
        </is>
      </c>
      <c r="J55" s="12" t="inlineStr">
        <is>
          <t>Yes</t>
        </is>
      </c>
      <c r="K55" s="16" t="inlineStr">
        <is>
          <t>Yes</t>
        </is>
      </c>
      <c r="L55" s="16" t="inlineStr">
        <is>
          <t>No</t>
        </is>
      </c>
      <c r="M55" s="16" t="inlineStr">
        <is>
          <t>No</t>
        </is>
      </c>
      <c r="N55" s="16" t="inlineStr">
        <is>
          <t>-</t>
        </is>
      </c>
      <c r="O55" s="14" t="inlineStr">
        <is>
          <t>SDA-CRS-TSK-SOP-02</t>
        </is>
      </c>
      <c r="P55" s="15" t="inlineStr">
        <is>
          <t>SD Academy/03_Woodify/04_SOP_Handbooks</t>
        </is>
      </c>
      <c r="Q55" s="15" t="inlineStr">
        <is>
          <t>SDG_Woodify_Taskon_Warranty_Service_Handbook_L2-L5_V1.0.pdf</t>
        </is>
      </c>
      <c r="R55" s="16" t="n">
        <v>1</v>
      </c>
      <c r="S55" s="14" t="inlineStr">
        <is>
          <t>PDF Final Checked</t>
        </is>
      </c>
      <c r="T55" s="16" t="inlineStr">
        <is>
          <t>Medium</t>
        </is>
      </c>
      <c r="U55" s="16" t="inlineStr">
        <is>
          <t>Wave 7</t>
        </is>
      </c>
      <c r="V55" s="14" t="inlineStr">
        <is>
          <t>Annual + on law change</t>
        </is>
      </c>
      <c r="W55" s="17" t="n">
        <v>46478</v>
      </c>
      <c r="X55" s="15" t="inlineStr"/>
    </row>
    <row r="56">
      <c r="A56" s="9" t="inlineStr">
        <is>
          <t>TSK-SOP-03</t>
        </is>
      </c>
      <c r="B56" s="10" t="inlineStr">
        <is>
          <t>Taskon Logistics &amp; Dispatch Handbook</t>
        </is>
      </c>
      <c r="C56" s="9" t="inlineStr">
        <is>
          <t>Taskon</t>
        </is>
      </c>
      <c r="D56" s="9" t="inlineStr">
        <is>
          <t>Logistics</t>
        </is>
      </c>
      <c r="E56" s="9" t="inlineStr">
        <is>
          <t>SOP Handbook</t>
        </is>
      </c>
      <c r="F56" s="11" t="inlineStr">
        <is>
          <t>L2-L5</t>
        </is>
      </c>
      <c r="G56" s="9" t="inlineStr">
        <is>
          <t>Internal</t>
        </is>
      </c>
      <c r="H56" s="9" t="inlineStr">
        <is>
          <t>Dept Head - TSK/Logistics</t>
        </is>
      </c>
      <c r="I56" s="11" t="inlineStr">
        <is>
          <t>Yes</t>
        </is>
      </c>
      <c r="J56" s="11" t="inlineStr">
        <is>
          <t>No</t>
        </is>
      </c>
      <c r="K56" s="11" t="inlineStr">
        <is>
          <t>Yes</t>
        </is>
      </c>
      <c r="L56" s="11" t="inlineStr">
        <is>
          <t>No</t>
        </is>
      </c>
      <c r="M56" s="11" t="inlineStr">
        <is>
          <t>No</t>
        </is>
      </c>
      <c r="N56" s="11" t="inlineStr">
        <is>
          <t>-</t>
        </is>
      </c>
      <c r="O56" s="9" t="inlineStr">
        <is>
          <t>SDA-CRS-TSK-SOP-03</t>
        </is>
      </c>
      <c r="P56" s="10" t="inlineStr">
        <is>
          <t>SD Academy/03_Woodify/04_SOP_Handbooks</t>
        </is>
      </c>
      <c r="Q56" s="10" t="inlineStr">
        <is>
          <t>SDG_Woodify_Taskon_Logistics_Dispatch_Handbook_L2-L5_V1.0.pdf</t>
        </is>
      </c>
      <c r="R56" s="11" t="n">
        <v>1</v>
      </c>
      <c r="S56" s="9" t="inlineStr">
        <is>
          <t>PDF Final Checked</t>
        </is>
      </c>
      <c r="T56" s="11" t="inlineStr">
        <is>
          <t>Medium</t>
        </is>
      </c>
      <c r="U56" s="11" t="inlineStr">
        <is>
          <t>Wave 7</t>
        </is>
      </c>
      <c r="V56" s="9" t="inlineStr">
        <is>
          <t>Half-yearly</t>
        </is>
      </c>
      <c r="W56" s="13" t="n">
        <v>46388</v>
      </c>
      <c r="X56" s="10" t="inlineStr"/>
    </row>
    <row r="57">
      <c r="A57" s="14" t="inlineStr">
        <is>
          <t>TSK-SOP-04</t>
        </is>
      </c>
      <c r="B57" s="15" t="inlineStr">
        <is>
          <t>Taskon Product Installation &amp; Demo Handbook</t>
        </is>
      </c>
      <c r="C57" s="14" t="inlineStr">
        <is>
          <t>Taskon</t>
        </is>
      </c>
      <c r="D57" s="14" t="inlineStr">
        <is>
          <t>Installation</t>
        </is>
      </c>
      <c r="E57" s="14" t="inlineStr">
        <is>
          <t>SOP Handbook</t>
        </is>
      </c>
      <c r="F57" s="16" t="inlineStr">
        <is>
          <t>L2-L5</t>
        </is>
      </c>
      <c r="G57" s="14" t="inlineStr">
        <is>
          <t>Internal</t>
        </is>
      </c>
      <c r="H57" s="14" t="inlineStr">
        <is>
          <t>Dept Head - TSK/Installation</t>
        </is>
      </c>
      <c r="I57" s="16" t="inlineStr">
        <is>
          <t>Yes</t>
        </is>
      </c>
      <c r="J57" s="16" t="inlineStr">
        <is>
          <t>No</t>
        </is>
      </c>
      <c r="K57" s="16" t="inlineStr">
        <is>
          <t>Yes</t>
        </is>
      </c>
      <c r="L57" s="16" t="inlineStr">
        <is>
          <t>No</t>
        </is>
      </c>
      <c r="M57" s="16" t="inlineStr">
        <is>
          <t>No</t>
        </is>
      </c>
      <c r="N57" s="16" t="inlineStr">
        <is>
          <t>-</t>
        </is>
      </c>
      <c r="O57" s="14" t="inlineStr">
        <is>
          <t>SDA-CRS-TSK-SOP-04</t>
        </is>
      </c>
      <c r="P57" s="15" t="inlineStr">
        <is>
          <t>SD Academy/03_Woodify/04_SOP_Handbooks</t>
        </is>
      </c>
      <c r="Q57" s="15" t="inlineStr">
        <is>
          <t>SDG_Woodify_Taskon_Product_Installation_Demo_Handbook_L2-L5_V1.0.pdf</t>
        </is>
      </c>
      <c r="R57" s="16" t="n">
        <v>1</v>
      </c>
      <c r="S57" s="14" t="inlineStr">
        <is>
          <t>PDF Final Checked</t>
        </is>
      </c>
      <c r="T57" s="16" t="inlineStr">
        <is>
          <t>Medium</t>
        </is>
      </c>
      <c r="U57" s="16" t="inlineStr">
        <is>
          <t>Wave 7</t>
        </is>
      </c>
      <c r="V57" s="14" t="inlineStr">
        <is>
          <t>Half-yearly</t>
        </is>
      </c>
      <c r="W57" s="17" t="n">
        <v>46388</v>
      </c>
      <c r="X57" s="15" t="inlineStr"/>
    </row>
    <row r="58">
      <c r="A58" s="9" t="inlineStr">
        <is>
          <t>TSK-SOP-05</t>
        </is>
      </c>
      <c r="B58" s="10" t="inlineStr">
        <is>
          <t>Taskon Customer Complaint Closure Handbook</t>
        </is>
      </c>
      <c r="C58" s="9" t="inlineStr">
        <is>
          <t>Taskon</t>
        </is>
      </c>
      <c r="D58" s="9" t="inlineStr">
        <is>
          <t>Service</t>
        </is>
      </c>
      <c r="E58" s="9" t="inlineStr">
        <is>
          <t>SOP Handbook</t>
        </is>
      </c>
      <c r="F58" s="11" t="inlineStr">
        <is>
          <t>L2-L5</t>
        </is>
      </c>
      <c r="G58" s="9" t="inlineStr">
        <is>
          <t>Internal</t>
        </is>
      </c>
      <c r="H58" s="9" t="inlineStr">
        <is>
          <t>Dept Head - TSK/Service</t>
        </is>
      </c>
      <c r="I58" s="11" t="inlineStr">
        <is>
          <t>Yes</t>
        </is>
      </c>
      <c r="J58" s="12" t="inlineStr">
        <is>
          <t>Yes</t>
        </is>
      </c>
      <c r="K58" s="11" t="inlineStr">
        <is>
          <t>Yes</t>
        </is>
      </c>
      <c r="L58" s="11" t="inlineStr">
        <is>
          <t>No</t>
        </is>
      </c>
      <c r="M58" s="11" t="inlineStr">
        <is>
          <t>No</t>
        </is>
      </c>
      <c r="N58" s="11" t="inlineStr">
        <is>
          <t>-</t>
        </is>
      </c>
      <c r="O58" s="9" t="inlineStr">
        <is>
          <t>SDA-CRS-TSK-SOP-05</t>
        </is>
      </c>
      <c r="P58" s="10" t="inlineStr">
        <is>
          <t>SD Academy/03_Woodify/04_SOP_Handbooks</t>
        </is>
      </c>
      <c r="Q58" s="10" t="inlineStr">
        <is>
          <t>SDG_Woodify_Taskon_Customer_Complaint_Closure_Handbook_L2-L5_V1.0.pdf</t>
        </is>
      </c>
      <c r="R58" s="11" t="n">
        <v>1</v>
      </c>
      <c r="S58" s="9" t="inlineStr">
        <is>
          <t>PDF Final Checked</t>
        </is>
      </c>
      <c r="T58" s="11" t="inlineStr">
        <is>
          <t>Medium</t>
        </is>
      </c>
      <c r="U58" s="11" t="inlineStr">
        <is>
          <t>Wave 7</t>
        </is>
      </c>
      <c r="V58" s="9" t="inlineStr">
        <is>
          <t>Annual + on law change</t>
        </is>
      </c>
      <c r="W58" s="13" t="n">
        <v>46478</v>
      </c>
      <c r="X58" s="10" t="inlineStr"/>
    </row>
  </sheetData>
  <autoFilter ref="A5:X58"/>
  <dataValidations count="1">
    <dataValidation sqref="S6:S58" showDropDown="0" showInputMessage="0" showErrorMessage="0" allowBlank="1" error="Pick a status from the Status_Flow list." type="list">
      <formula1>"Not Started,Draft Content Created,HR Review Pending,HR Approved,Legal Review Pending,Legal Approved,Management Review Pending,Management Approved,PDF Designed,PDF Final Checked,Uploaded to SD Academy,Access Tagged,Acknowledgement Campaign Live,Employee Acknowledgement Completed,Archived / Superseded"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SD GROUP - EMPLOYEE HANDBOOK REGISTER</t>
        </is>
      </c>
    </row>
    <row r="2">
      <c r="A2" s="2" t="inlineStr">
        <is>
          <t>WOODIFY - LEVEL MATRIX (L1-L5)</t>
        </is>
      </c>
    </row>
    <row r="3">
      <c r="A3" s="3" t="inlineStr">
        <is>
          <t>Cumulative: each level includes every level below it. Yes = the book sits in that level's path for people in scope.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Access Band</t>
        </is>
      </c>
      <c r="G5" s="5" t="inlineStr">
        <is>
          <t>Min Level</t>
        </is>
      </c>
      <c r="H5" s="5" t="inlineStr">
        <is>
          <t>L1</t>
        </is>
      </c>
      <c r="I5" s="5" t="inlineStr">
        <is>
          <t>L2</t>
        </is>
      </c>
      <c r="J5" s="5" t="inlineStr">
        <is>
          <t>L3</t>
        </is>
      </c>
      <c r="K5" s="5" t="inlineStr">
        <is>
          <t>L4</t>
        </is>
      </c>
      <c r="L5" s="5" t="inlineStr">
        <is>
          <t>L5</t>
        </is>
      </c>
    </row>
    <row r="6">
      <c r="A6" s="19" t="inlineStr">
        <is>
          <t>TSK-BRD-01</t>
        </is>
      </c>
      <c r="B6" s="20" t="inlineStr">
        <is>
          <t>Taskon Brand Handbook</t>
        </is>
      </c>
      <c r="C6" s="19" t="inlineStr">
        <is>
          <t>Taskon</t>
        </is>
      </c>
      <c r="D6" s="19" t="inlineStr">
        <is>
          <t>Division-wide</t>
        </is>
      </c>
      <c r="E6" s="19" t="inlineStr">
        <is>
          <t>Company / Division Handbook</t>
        </is>
      </c>
      <c r="F6" s="19" t="inlineStr">
        <is>
          <t>L1-L5</t>
        </is>
      </c>
      <c r="G6" s="21" t="inlineStr">
        <is>
          <t>L1</t>
        </is>
      </c>
      <c r="H6" s="22" t="inlineStr">
        <is>
          <t>Yes</t>
        </is>
      </c>
      <c r="I6" s="22" t="inlineStr">
        <is>
          <t>Yes</t>
        </is>
      </c>
      <c r="J6" s="22" t="inlineStr">
        <is>
          <t>Yes</t>
        </is>
      </c>
      <c r="K6" s="22" t="inlineStr">
        <is>
          <t>Yes</t>
        </is>
      </c>
      <c r="L6" s="22" t="inlineStr">
        <is>
          <t>Yes</t>
        </is>
      </c>
    </row>
    <row r="7">
      <c r="A7" s="19" t="inlineStr">
        <is>
          <t>TSK-DPT-01</t>
        </is>
      </c>
      <c r="B7" s="20" t="inlineStr">
        <is>
          <t>Product Development Handbook</t>
        </is>
      </c>
      <c r="C7" s="19" t="inlineStr">
        <is>
          <t>Taskon</t>
        </is>
      </c>
      <c r="D7" s="19" t="inlineStr">
        <is>
          <t>Product Development</t>
        </is>
      </c>
      <c r="E7" s="19" t="inlineStr">
        <is>
          <t>Department Handbook</t>
        </is>
      </c>
      <c r="F7" s="19" t="inlineStr">
        <is>
          <t>L1-L5</t>
        </is>
      </c>
      <c r="G7" s="21" t="inlineStr">
        <is>
          <t>L1</t>
        </is>
      </c>
      <c r="H7" s="22" t="inlineStr">
        <is>
          <t>Yes</t>
        </is>
      </c>
      <c r="I7" s="22" t="inlineStr">
        <is>
          <t>Yes</t>
        </is>
      </c>
      <c r="J7" s="22" t="inlineStr">
        <is>
          <t>Yes</t>
        </is>
      </c>
      <c r="K7" s="22" t="inlineStr">
        <is>
          <t>Yes</t>
        </is>
      </c>
      <c r="L7" s="22" t="inlineStr">
        <is>
          <t>Yes</t>
        </is>
      </c>
    </row>
    <row r="8">
      <c r="A8" s="19" t="inlineStr">
        <is>
          <t>TSK-DPT-02</t>
        </is>
      </c>
      <c r="B8" s="20" t="inlineStr">
        <is>
          <t>Seating Engineering Handbook</t>
        </is>
      </c>
      <c r="C8" s="19" t="inlineStr">
        <is>
          <t>Taskon</t>
        </is>
      </c>
      <c r="D8" s="19" t="inlineStr">
        <is>
          <t>Seating Engineering</t>
        </is>
      </c>
      <c r="E8" s="19" t="inlineStr">
        <is>
          <t>Department Handbook</t>
        </is>
      </c>
      <c r="F8" s="19" t="inlineStr">
        <is>
          <t>L1-L5</t>
        </is>
      </c>
      <c r="G8" s="21" t="inlineStr">
        <is>
          <t>L1</t>
        </is>
      </c>
      <c r="H8" s="22" t="inlineStr">
        <is>
          <t>Yes</t>
        </is>
      </c>
      <c r="I8" s="22" t="inlineStr">
        <is>
          <t>Yes</t>
        </is>
      </c>
      <c r="J8" s="22" t="inlineStr">
        <is>
          <t>Yes</t>
        </is>
      </c>
      <c r="K8" s="22" t="inlineStr">
        <is>
          <t>Yes</t>
        </is>
      </c>
      <c r="L8" s="22" t="inlineStr">
        <is>
          <t>Yes</t>
        </is>
      </c>
    </row>
    <row r="9">
      <c r="A9" s="19" t="inlineStr">
        <is>
          <t>TSK-DPT-03</t>
        </is>
      </c>
      <c r="B9" s="20" t="inlineStr">
        <is>
          <t>Testing &amp; Certification Handbook</t>
        </is>
      </c>
      <c r="C9" s="19" t="inlineStr">
        <is>
          <t>Taskon</t>
        </is>
      </c>
      <c r="D9" s="19" t="inlineStr">
        <is>
          <t>Testing &amp; Certification</t>
        </is>
      </c>
      <c r="E9" s="19" t="inlineStr">
        <is>
          <t>Department Handbook</t>
        </is>
      </c>
      <c r="F9" s="19" t="inlineStr">
        <is>
          <t>L1-L5</t>
        </is>
      </c>
      <c r="G9" s="21" t="inlineStr">
        <is>
          <t>L1</t>
        </is>
      </c>
      <c r="H9" s="22" t="inlineStr">
        <is>
          <t>Yes</t>
        </is>
      </c>
      <c r="I9" s="22" t="inlineStr">
        <is>
          <t>Yes</t>
        </is>
      </c>
      <c r="J9" s="22" t="inlineStr">
        <is>
          <t>Yes</t>
        </is>
      </c>
      <c r="K9" s="22" t="inlineStr">
        <is>
          <t>Yes</t>
        </is>
      </c>
      <c r="L9" s="22" t="inlineStr">
        <is>
          <t>Yes</t>
        </is>
      </c>
    </row>
    <row r="10">
      <c r="A10" s="19" t="inlineStr">
        <is>
          <t>TSK-DPT-04</t>
        </is>
      </c>
      <c r="B10" s="20" t="inlineStr">
        <is>
          <t>Taskon Sales &amp; Dealer / Channel Handbook</t>
        </is>
      </c>
      <c r="C10" s="19" t="inlineStr">
        <is>
          <t>Taskon</t>
        </is>
      </c>
      <c r="D10" s="19" t="inlineStr">
        <is>
          <t>Sales</t>
        </is>
      </c>
      <c r="E10" s="19" t="inlineStr">
        <is>
          <t>Department Handbook</t>
        </is>
      </c>
      <c r="F10" s="19" t="inlineStr">
        <is>
          <t>L1-L5</t>
        </is>
      </c>
      <c r="G10" s="21" t="inlineStr">
        <is>
          <t>L1</t>
        </is>
      </c>
      <c r="H10" s="22" t="inlineStr">
        <is>
          <t>Yes</t>
        </is>
      </c>
      <c r="I10" s="22" t="inlineStr">
        <is>
          <t>Yes</t>
        </is>
      </c>
      <c r="J10" s="22" t="inlineStr">
        <is>
          <t>Yes</t>
        </is>
      </c>
      <c r="K10" s="22" t="inlineStr">
        <is>
          <t>Yes</t>
        </is>
      </c>
      <c r="L10" s="22" t="inlineStr">
        <is>
          <t>Yes</t>
        </is>
      </c>
    </row>
    <row r="11">
      <c r="A11" s="19" t="inlineStr">
        <is>
          <t>WFH-BRD-01</t>
        </is>
      </c>
      <c r="B11" s="20" t="inlineStr">
        <is>
          <t>Woodify Homes Division Handbook</t>
        </is>
      </c>
      <c r="C11" s="19" t="inlineStr">
        <is>
          <t>Woodify Homes</t>
        </is>
      </c>
      <c r="D11" s="19" t="inlineStr">
        <is>
          <t>Division-wide</t>
        </is>
      </c>
      <c r="E11" s="19" t="inlineStr">
        <is>
          <t>Company / Division Handbook</t>
        </is>
      </c>
      <c r="F11" s="19" t="inlineStr">
        <is>
          <t>L1-L5</t>
        </is>
      </c>
      <c r="G11" s="21" t="inlineStr">
        <is>
          <t>L1</t>
        </is>
      </c>
      <c r="H11" s="22" t="inlineStr">
        <is>
          <t>Yes</t>
        </is>
      </c>
      <c r="I11" s="22" t="inlineStr">
        <is>
          <t>Yes</t>
        </is>
      </c>
      <c r="J11" s="22" t="inlineStr">
        <is>
          <t>Yes</t>
        </is>
      </c>
      <c r="K11" s="22" t="inlineStr">
        <is>
          <t>Yes</t>
        </is>
      </c>
      <c r="L11" s="22" t="inlineStr">
        <is>
          <t>Yes</t>
        </is>
      </c>
    </row>
    <row r="12">
      <c r="A12" s="19" t="inlineStr">
        <is>
          <t>WFH-DPT-01</t>
        </is>
      </c>
      <c r="B12" s="20" t="inlineStr">
        <is>
          <t>CRM Handbook</t>
        </is>
      </c>
      <c r="C12" s="19" t="inlineStr">
        <is>
          <t>Woodify Homes</t>
        </is>
      </c>
      <c r="D12" s="19" t="inlineStr">
        <is>
          <t>CRM</t>
        </is>
      </c>
      <c r="E12" s="19" t="inlineStr">
        <is>
          <t>Department Handbook</t>
        </is>
      </c>
      <c r="F12" s="19" t="inlineStr">
        <is>
          <t>L1-L5</t>
        </is>
      </c>
      <c r="G12" s="21" t="inlineStr">
        <is>
          <t>L1</t>
        </is>
      </c>
      <c r="H12" s="22" t="inlineStr">
        <is>
          <t>Yes</t>
        </is>
      </c>
      <c r="I12" s="22" t="inlineStr">
        <is>
          <t>Yes</t>
        </is>
      </c>
      <c r="J12" s="22" t="inlineStr">
        <is>
          <t>Yes</t>
        </is>
      </c>
      <c r="K12" s="22" t="inlineStr">
        <is>
          <t>Yes</t>
        </is>
      </c>
      <c r="L12" s="22" t="inlineStr">
        <is>
          <t>Yes</t>
        </is>
      </c>
    </row>
    <row r="13">
      <c r="A13" s="19" t="inlineStr">
        <is>
          <t>WFH-DPT-02</t>
        </is>
      </c>
      <c r="B13" s="20" t="inlineStr">
        <is>
          <t>Business Development Handbook</t>
        </is>
      </c>
      <c r="C13" s="19" t="inlineStr">
        <is>
          <t>Woodify Homes</t>
        </is>
      </c>
      <c r="D13" s="19" t="inlineStr">
        <is>
          <t>Business Development</t>
        </is>
      </c>
      <c r="E13" s="19" t="inlineStr">
        <is>
          <t>Department Handbook</t>
        </is>
      </c>
      <c r="F13" s="19" t="inlineStr">
        <is>
          <t>L1-L5</t>
        </is>
      </c>
      <c r="G13" s="21" t="inlineStr">
        <is>
          <t>L1</t>
        </is>
      </c>
      <c r="H13" s="22" t="inlineStr">
        <is>
          <t>Yes</t>
        </is>
      </c>
      <c r="I13" s="22" t="inlineStr">
        <is>
          <t>Yes</t>
        </is>
      </c>
      <c r="J13" s="22" t="inlineStr">
        <is>
          <t>Yes</t>
        </is>
      </c>
      <c r="K13" s="22" t="inlineStr">
        <is>
          <t>Yes</t>
        </is>
      </c>
      <c r="L13" s="22" t="inlineStr">
        <is>
          <t>Yes</t>
        </is>
      </c>
    </row>
    <row r="14">
      <c r="A14" s="19" t="inlineStr">
        <is>
          <t>WFH-DPT-03</t>
        </is>
      </c>
      <c r="B14" s="20" t="inlineStr">
        <is>
          <t>Interior Design Handbook</t>
        </is>
      </c>
      <c r="C14" s="19" t="inlineStr">
        <is>
          <t>Woodify Homes</t>
        </is>
      </c>
      <c r="D14" s="19" t="inlineStr">
        <is>
          <t>Interior Design</t>
        </is>
      </c>
      <c r="E14" s="19" t="inlineStr">
        <is>
          <t>Department Handbook</t>
        </is>
      </c>
      <c r="F14" s="19" t="inlineStr">
        <is>
          <t>L1-L5</t>
        </is>
      </c>
      <c r="G14" s="21" t="inlineStr">
        <is>
          <t>L1</t>
        </is>
      </c>
      <c r="H14" s="22" t="inlineStr">
        <is>
          <t>Yes</t>
        </is>
      </c>
      <c r="I14" s="22" t="inlineStr">
        <is>
          <t>Yes</t>
        </is>
      </c>
      <c r="J14" s="22" t="inlineStr">
        <is>
          <t>Yes</t>
        </is>
      </c>
      <c r="K14" s="22" t="inlineStr">
        <is>
          <t>Yes</t>
        </is>
      </c>
      <c r="L14" s="22" t="inlineStr">
        <is>
          <t>Yes</t>
        </is>
      </c>
    </row>
    <row r="15">
      <c r="A15" s="19" t="inlineStr">
        <is>
          <t>WFH-DPT-05</t>
        </is>
      </c>
      <c r="B15" s="20" t="inlineStr">
        <is>
          <t>Site Survey &amp; Measurement Handbook</t>
        </is>
      </c>
      <c r="C15" s="19" t="inlineStr">
        <is>
          <t>Woodify Homes</t>
        </is>
      </c>
      <c r="D15" s="19" t="inlineStr">
        <is>
          <t>Site Survey</t>
        </is>
      </c>
      <c r="E15" s="19" t="inlineStr">
        <is>
          <t>Department Handbook</t>
        </is>
      </c>
      <c r="F15" s="19" t="inlineStr">
        <is>
          <t>L1-L5</t>
        </is>
      </c>
      <c r="G15" s="21" t="inlineStr">
        <is>
          <t>L1</t>
        </is>
      </c>
      <c r="H15" s="22" t="inlineStr">
        <is>
          <t>Yes</t>
        </is>
      </c>
      <c r="I15" s="22" t="inlineStr">
        <is>
          <t>Yes</t>
        </is>
      </c>
      <c r="J15" s="22" t="inlineStr">
        <is>
          <t>Yes</t>
        </is>
      </c>
      <c r="K15" s="22" t="inlineStr">
        <is>
          <t>Yes</t>
        </is>
      </c>
      <c r="L15" s="22" t="inlineStr">
        <is>
          <t>Yes</t>
        </is>
      </c>
    </row>
    <row r="16">
      <c r="A16" s="19" t="inlineStr">
        <is>
          <t>WFH-DPT-06</t>
        </is>
      </c>
      <c r="B16" s="20" t="inlineStr">
        <is>
          <t>Project Execution Handbook</t>
        </is>
      </c>
      <c r="C16" s="19" t="inlineStr">
        <is>
          <t>Woodify Homes</t>
        </is>
      </c>
      <c r="D16" s="19" t="inlineStr">
        <is>
          <t>Project Execution</t>
        </is>
      </c>
      <c r="E16" s="19" t="inlineStr">
        <is>
          <t>Department Handbook</t>
        </is>
      </c>
      <c r="F16" s="19" t="inlineStr">
        <is>
          <t>L1-L5</t>
        </is>
      </c>
      <c r="G16" s="21" t="inlineStr">
        <is>
          <t>L1</t>
        </is>
      </c>
      <c r="H16" s="22" t="inlineStr">
        <is>
          <t>Yes</t>
        </is>
      </c>
      <c r="I16" s="22" t="inlineStr">
        <is>
          <t>Yes</t>
        </is>
      </c>
      <c r="J16" s="22" t="inlineStr">
        <is>
          <t>Yes</t>
        </is>
      </c>
      <c r="K16" s="22" t="inlineStr">
        <is>
          <t>Yes</t>
        </is>
      </c>
      <c r="L16" s="22" t="inlineStr">
        <is>
          <t>Yes</t>
        </is>
      </c>
    </row>
    <row r="17">
      <c r="A17" s="19" t="inlineStr">
        <is>
          <t>WFH-DPT-07</t>
        </is>
      </c>
      <c r="B17" s="20" t="inlineStr">
        <is>
          <t>Installation Handbook</t>
        </is>
      </c>
      <c r="C17" s="19" t="inlineStr">
        <is>
          <t>Woodify Homes</t>
        </is>
      </c>
      <c r="D17" s="19" t="inlineStr">
        <is>
          <t>Installation</t>
        </is>
      </c>
      <c r="E17" s="19" t="inlineStr">
        <is>
          <t>Department Handbook</t>
        </is>
      </c>
      <c r="F17" s="19" t="inlineStr">
        <is>
          <t>L1-L5</t>
        </is>
      </c>
      <c r="G17" s="21" t="inlineStr">
        <is>
          <t>L1</t>
        </is>
      </c>
      <c r="H17" s="22" t="inlineStr">
        <is>
          <t>Yes</t>
        </is>
      </c>
      <c r="I17" s="22" t="inlineStr">
        <is>
          <t>Yes</t>
        </is>
      </c>
      <c r="J17" s="22" t="inlineStr">
        <is>
          <t>Yes</t>
        </is>
      </c>
      <c r="K17" s="22" t="inlineStr">
        <is>
          <t>Yes</t>
        </is>
      </c>
      <c r="L17" s="22" t="inlineStr">
        <is>
          <t>Yes</t>
        </is>
      </c>
    </row>
    <row r="18">
      <c r="A18" s="19" t="inlineStr">
        <is>
          <t>WFH-DPT-08</t>
        </is>
      </c>
      <c r="B18" s="20" t="inlineStr">
        <is>
          <t>Quality Control Handbook</t>
        </is>
      </c>
      <c r="C18" s="19" t="inlineStr">
        <is>
          <t>Woodify Homes</t>
        </is>
      </c>
      <c r="D18" s="19" t="inlineStr">
        <is>
          <t>Quality Control</t>
        </is>
      </c>
      <c r="E18" s="19" t="inlineStr">
        <is>
          <t>Department Handbook</t>
        </is>
      </c>
      <c r="F18" s="19" t="inlineStr">
        <is>
          <t>L1-L5</t>
        </is>
      </c>
      <c r="G18" s="21" t="inlineStr">
        <is>
          <t>L1</t>
        </is>
      </c>
      <c r="H18" s="22" t="inlineStr">
        <is>
          <t>Yes</t>
        </is>
      </c>
      <c r="I18" s="22" t="inlineStr">
        <is>
          <t>Yes</t>
        </is>
      </c>
      <c r="J18" s="22" t="inlineStr">
        <is>
          <t>Yes</t>
        </is>
      </c>
      <c r="K18" s="22" t="inlineStr">
        <is>
          <t>Yes</t>
        </is>
      </c>
      <c r="L18" s="22" t="inlineStr">
        <is>
          <t>Yes</t>
        </is>
      </c>
    </row>
    <row r="19">
      <c r="A19" s="19" t="inlineStr">
        <is>
          <t>WFH-DPT-09</t>
        </is>
      </c>
      <c r="B19" s="20" t="inlineStr">
        <is>
          <t>Customer Experience &amp; Warranty Handbook</t>
        </is>
      </c>
      <c r="C19" s="19" t="inlineStr">
        <is>
          <t>Woodify Homes</t>
        </is>
      </c>
      <c r="D19" s="19" t="inlineStr">
        <is>
          <t>Customer Experience</t>
        </is>
      </c>
      <c r="E19" s="19" t="inlineStr">
        <is>
          <t>Department Handbook</t>
        </is>
      </c>
      <c r="F19" s="19" t="inlineStr">
        <is>
          <t>L1-L5</t>
        </is>
      </c>
      <c r="G19" s="21" t="inlineStr">
        <is>
          <t>L1</t>
        </is>
      </c>
      <c r="H19" s="22" t="inlineStr">
        <is>
          <t>Yes</t>
        </is>
      </c>
      <c r="I19" s="22" t="inlineStr">
        <is>
          <t>Yes</t>
        </is>
      </c>
      <c r="J19" s="22" t="inlineStr">
        <is>
          <t>Yes</t>
        </is>
      </c>
      <c r="K19" s="22" t="inlineStr">
        <is>
          <t>Yes</t>
        </is>
      </c>
      <c r="L19" s="22" t="inlineStr">
        <is>
          <t>Yes</t>
        </is>
      </c>
    </row>
    <row r="20">
      <c r="A20" s="19" t="inlineStr">
        <is>
          <t>WFH-DPT-10</t>
        </is>
      </c>
      <c r="B20" s="20" t="inlineStr">
        <is>
          <t>Procurement Handbook</t>
        </is>
      </c>
      <c r="C20" s="19" t="inlineStr">
        <is>
          <t>Woodify Homes</t>
        </is>
      </c>
      <c r="D20" s="19" t="inlineStr">
        <is>
          <t>Procurement</t>
        </is>
      </c>
      <c r="E20" s="19" t="inlineStr">
        <is>
          <t>Department Handbook</t>
        </is>
      </c>
      <c r="F20" s="19" t="inlineStr">
        <is>
          <t>L1-L5</t>
        </is>
      </c>
      <c r="G20" s="21" t="inlineStr">
        <is>
          <t>L1</t>
        </is>
      </c>
      <c r="H20" s="22" t="inlineStr">
        <is>
          <t>Yes</t>
        </is>
      </c>
      <c r="I20" s="22" t="inlineStr">
        <is>
          <t>Yes</t>
        </is>
      </c>
      <c r="J20" s="22" t="inlineStr">
        <is>
          <t>Yes</t>
        </is>
      </c>
      <c r="K20" s="22" t="inlineStr">
        <is>
          <t>Yes</t>
        </is>
      </c>
      <c r="L20" s="22" t="inlineStr">
        <is>
          <t>Yes</t>
        </is>
      </c>
    </row>
    <row r="21">
      <c r="A21" s="19" t="inlineStr">
        <is>
          <t>WFY-BRD-01</t>
        </is>
      </c>
      <c r="B21" s="20" t="inlineStr">
        <is>
          <t>Woodify Company Handbook</t>
        </is>
      </c>
      <c r="C21" s="19" t="inlineStr">
        <is>
          <t>All Divisions</t>
        </is>
      </c>
      <c r="D21" s="19" t="inlineStr">
        <is>
          <t>Company-wide</t>
        </is>
      </c>
      <c r="E21" s="19" t="inlineStr">
        <is>
          <t>Company / Division Handbook</t>
        </is>
      </c>
      <c r="F21" s="19" t="inlineStr">
        <is>
          <t>L1-L5</t>
        </is>
      </c>
      <c r="G21" s="21" t="inlineStr">
        <is>
          <t>L1</t>
        </is>
      </c>
      <c r="H21" s="22" t="inlineStr">
        <is>
          <t>Yes</t>
        </is>
      </c>
      <c r="I21" s="22" t="inlineStr">
        <is>
          <t>Yes</t>
        </is>
      </c>
      <c r="J21" s="22" t="inlineStr">
        <is>
          <t>Yes</t>
        </is>
      </c>
      <c r="K21" s="22" t="inlineStr">
        <is>
          <t>Yes</t>
        </is>
      </c>
      <c r="L21" s="22" t="inlineStr">
        <is>
          <t>Yes</t>
        </is>
      </c>
    </row>
    <row r="22">
      <c r="A22" s="19" t="inlineStr">
        <is>
          <t>WFY-DPT-01</t>
        </is>
      </c>
      <c r="B22" s="20" t="inlineStr">
        <is>
          <t>CRM Handbook</t>
        </is>
      </c>
      <c r="C22" s="19" t="inlineStr">
        <is>
          <t>Woodify Office Furniture</t>
        </is>
      </c>
      <c r="D22" s="19" t="inlineStr">
        <is>
          <t>CRM</t>
        </is>
      </c>
      <c r="E22" s="19" t="inlineStr">
        <is>
          <t>Department Handbook</t>
        </is>
      </c>
      <c r="F22" s="19" t="inlineStr">
        <is>
          <t>L1-L5</t>
        </is>
      </c>
      <c r="G22" s="21" t="inlineStr">
        <is>
          <t>L1</t>
        </is>
      </c>
      <c r="H22" s="22" t="inlineStr">
        <is>
          <t>Yes</t>
        </is>
      </c>
      <c r="I22" s="22" t="inlineStr">
        <is>
          <t>Yes</t>
        </is>
      </c>
      <c r="J22" s="22" t="inlineStr">
        <is>
          <t>Yes</t>
        </is>
      </c>
      <c r="K22" s="22" t="inlineStr">
        <is>
          <t>Yes</t>
        </is>
      </c>
      <c r="L22" s="22" t="inlineStr">
        <is>
          <t>Yes</t>
        </is>
      </c>
    </row>
    <row r="23">
      <c r="A23" s="19" t="inlineStr">
        <is>
          <t>WFY-DPT-02</t>
        </is>
      </c>
      <c r="B23" s="20" t="inlineStr">
        <is>
          <t>Business Development Handbook</t>
        </is>
      </c>
      <c r="C23" s="19" t="inlineStr">
        <is>
          <t>Woodify Office Furniture</t>
        </is>
      </c>
      <c r="D23" s="19" t="inlineStr">
        <is>
          <t>Business Development</t>
        </is>
      </c>
      <c r="E23" s="19" t="inlineStr">
        <is>
          <t>Department Handbook</t>
        </is>
      </c>
      <c r="F23" s="19" t="inlineStr">
        <is>
          <t>L1-L5</t>
        </is>
      </c>
      <c r="G23" s="21" t="inlineStr">
        <is>
          <t>L1</t>
        </is>
      </c>
      <c r="H23" s="22" t="inlineStr">
        <is>
          <t>Yes</t>
        </is>
      </c>
      <c r="I23" s="22" t="inlineStr">
        <is>
          <t>Yes</t>
        </is>
      </c>
      <c r="J23" s="22" t="inlineStr">
        <is>
          <t>Yes</t>
        </is>
      </c>
      <c r="K23" s="22" t="inlineStr">
        <is>
          <t>Yes</t>
        </is>
      </c>
      <c r="L23" s="22" t="inlineStr">
        <is>
          <t>Yes</t>
        </is>
      </c>
    </row>
    <row r="24">
      <c r="A24" s="19" t="inlineStr">
        <is>
          <t>WFY-DPT-03</t>
        </is>
      </c>
      <c r="B24" s="20" t="inlineStr">
        <is>
          <t>Design &amp; Engineering Handbook</t>
        </is>
      </c>
      <c r="C24" s="19" t="inlineStr">
        <is>
          <t>Woodify Office Furniture</t>
        </is>
      </c>
      <c r="D24" s="19" t="inlineStr">
        <is>
          <t>Design &amp; Engineering</t>
        </is>
      </c>
      <c r="E24" s="19" t="inlineStr">
        <is>
          <t>Department Handbook</t>
        </is>
      </c>
      <c r="F24" s="19" t="inlineStr">
        <is>
          <t>L1-L5</t>
        </is>
      </c>
      <c r="G24" s="21" t="inlineStr">
        <is>
          <t>L1</t>
        </is>
      </c>
      <c r="H24" s="22" t="inlineStr">
        <is>
          <t>Yes</t>
        </is>
      </c>
      <c r="I24" s="22" t="inlineStr">
        <is>
          <t>Yes</t>
        </is>
      </c>
      <c r="J24" s="22" t="inlineStr">
        <is>
          <t>Yes</t>
        </is>
      </c>
      <c r="K24" s="22" t="inlineStr">
        <is>
          <t>Yes</t>
        </is>
      </c>
      <c r="L24" s="22" t="inlineStr">
        <is>
          <t>Yes</t>
        </is>
      </c>
    </row>
    <row r="25">
      <c r="A25" s="19" t="inlineStr">
        <is>
          <t>WFY-DPT-05</t>
        </is>
      </c>
      <c r="B25" s="20" t="inlineStr">
        <is>
          <t>Production Planning Handbook</t>
        </is>
      </c>
      <c r="C25" s="19" t="inlineStr">
        <is>
          <t>Factory / Manufacturing Operations</t>
        </is>
      </c>
      <c r="D25" s="19" t="inlineStr">
        <is>
          <t>Production Planning</t>
        </is>
      </c>
      <c r="E25" s="19" t="inlineStr">
        <is>
          <t>Department Handbook</t>
        </is>
      </c>
      <c r="F25" s="19" t="inlineStr">
        <is>
          <t>L1-L5</t>
        </is>
      </c>
      <c r="G25" s="21" t="inlineStr">
        <is>
          <t>L1</t>
        </is>
      </c>
      <c r="H25" s="22" t="inlineStr">
        <is>
          <t>Yes</t>
        </is>
      </c>
      <c r="I25" s="22" t="inlineStr">
        <is>
          <t>Yes</t>
        </is>
      </c>
      <c r="J25" s="22" t="inlineStr">
        <is>
          <t>Yes</t>
        </is>
      </c>
      <c r="K25" s="22" t="inlineStr">
        <is>
          <t>Yes</t>
        </is>
      </c>
      <c r="L25" s="22" t="inlineStr">
        <is>
          <t>Yes</t>
        </is>
      </c>
    </row>
    <row r="26">
      <c r="A26" s="19" t="inlineStr">
        <is>
          <t>WFY-DPT-06</t>
        </is>
      </c>
      <c r="B26" s="20" t="inlineStr">
        <is>
          <t>Manufacturing Handbook</t>
        </is>
      </c>
      <c r="C26" s="19" t="inlineStr">
        <is>
          <t>Factory / Manufacturing Operations</t>
        </is>
      </c>
      <c r="D26" s="19" t="inlineStr">
        <is>
          <t>Manufacturing</t>
        </is>
      </c>
      <c r="E26" s="19" t="inlineStr">
        <is>
          <t>Department Handbook</t>
        </is>
      </c>
      <c r="F26" s="19" t="inlineStr">
        <is>
          <t>L1-L5</t>
        </is>
      </c>
      <c r="G26" s="21" t="inlineStr">
        <is>
          <t>L1</t>
        </is>
      </c>
      <c r="H26" s="22" t="inlineStr">
        <is>
          <t>Yes</t>
        </is>
      </c>
      <c r="I26" s="22" t="inlineStr">
        <is>
          <t>Yes</t>
        </is>
      </c>
      <c r="J26" s="22" t="inlineStr">
        <is>
          <t>Yes</t>
        </is>
      </c>
      <c r="K26" s="22" t="inlineStr">
        <is>
          <t>Yes</t>
        </is>
      </c>
      <c r="L26" s="22" t="inlineStr">
        <is>
          <t>Yes</t>
        </is>
      </c>
    </row>
    <row r="27">
      <c r="A27" s="19" t="inlineStr">
        <is>
          <t>WFY-DPT-07</t>
        </is>
      </c>
      <c r="B27" s="20" t="inlineStr">
        <is>
          <t>CNC Operations Handbook</t>
        </is>
      </c>
      <c r="C27" s="19" t="inlineStr">
        <is>
          <t>Factory / Manufacturing Operations</t>
        </is>
      </c>
      <c r="D27" s="19" t="inlineStr">
        <is>
          <t>CNC</t>
        </is>
      </c>
      <c r="E27" s="19" t="inlineStr">
        <is>
          <t>Department Handbook</t>
        </is>
      </c>
      <c r="F27" s="19" t="inlineStr">
        <is>
          <t>L1-L5</t>
        </is>
      </c>
      <c r="G27" s="21" t="inlineStr">
        <is>
          <t>L1</t>
        </is>
      </c>
      <c r="H27" s="22" t="inlineStr">
        <is>
          <t>Yes</t>
        </is>
      </c>
      <c r="I27" s="22" t="inlineStr">
        <is>
          <t>Yes</t>
        </is>
      </c>
      <c r="J27" s="22" t="inlineStr">
        <is>
          <t>Yes</t>
        </is>
      </c>
      <c r="K27" s="22" t="inlineStr">
        <is>
          <t>Yes</t>
        </is>
      </c>
      <c r="L27" s="22" t="inlineStr">
        <is>
          <t>Yes</t>
        </is>
      </c>
    </row>
    <row r="28">
      <c r="A28" s="19" t="inlineStr">
        <is>
          <t>WFY-DPT-08</t>
        </is>
      </c>
      <c r="B28" s="20" t="inlineStr">
        <is>
          <t>Edge Banding Handbook</t>
        </is>
      </c>
      <c r="C28" s="19" t="inlineStr">
        <is>
          <t>Factory / Manufacturing Operations</t>
        </is>
      </c>
      <c r="D28" s="19" t="inlineStr">
        <is>
          <t>Edge Banding</t>
        </is>
      </c>
      <c r="E28" s="19" t="inlineStr">
        <is>
          <t>Department Handbook</t>
        </is>
      </c>
      <c r="F28" s="19" t="inlineStr">
        <is>
          <t>L1-L5</t>
        </is>
      </c>
      <c r="G28" s="21" t="inlineStr">
        <is>
          <t>L1</t>
        </is>
      </c>
      <c r="H28" s="22" t="inlineStr">
        <is>
          <t>Yes</t>
        </is>
      </c>
      <c r="I28" s="22" t="inlineStr">
        <is>
          <t>Yes</t>
        </is>
      </c>
      <c r="J28" s="22" t="inlineStr">
        <is>
          <t>Yes</t>
        </is>
      </c>
      <c r="K28" s="22" t="inlineStr">
        <is>
          <t>Yes</t>
        </is>
      </c>
      <c r="L28" s="22" t="inlineStr">
        <is>
          <t>Yes</t>
        </is>
      </c>
    </row>
    <row r="29">
      <c r="A29" s="19" t="inlineStr">
        <is>
          <t>WFY-DPT-09</t>
        </is>
      </c>
      <c r="B29" s="20" t="inlineStr">
        <is>
          <t>Assembly Handbook</t>
        </is>
      </c>
      <c r="C29" s="19" t="inlineStr">
        <is>
          <t>Factory / Manufacturing Operations</t>
        </is>
      </c>
      <c r="D29" s="19" t="inlineStr">
        <is>
          <t>Assembly</t>
        </is>
      </c>
      <c r="E29" s="19" t="inlineStr">
        <is>
          <t>Department Handbook</t>
        </is>
      </c>
      <c r="F29" s="19" t="inlineStr">
        <is>
          <t>L1-L5</t>
        </is>
      </c>
      <c r="G29" s="21" t="inlineStr">
        <is>
          <t>L1</t>
        </is>
      </c>
      <c r="H29" s="22" t="inlineStr">
        <is>
          <t>Yes</t>
        </is>
      </c>
      <c r="I29" s="22" t="inlineStr">
        <is>
          <t>Yes</t>
        </is>
      </c>
      <c r="J29" s="22" t="inlineStr">
        <is>
          <t>Yes</t>
        </is>
      </c>
      <c r="K29" s="22" t="inlineStr">
        <is>
          <t>Yes</t>
        </is>
      </c>
      <c r="L29" s="22" t="inlineStr">
        <is>
          <t>Yes</t>
        </is>
      </c>
    </row>
    <row r="30">
      <c r="A30" s="19" t="inlineStr">
        <is>
          <t>WFY-DPT-10</t>
        </is>
      </c>
      <c r="B30" s="20" t="inlineStr">
        <is>
          <t>Quality Control Handbook</t>
        </is>
      </c>
      <c r="C30" s="19" t="inlineStr">
        <is>
          <t>Factory / Manufacturing Operations</t>
        </is>
      </c>
      <c r="D30" s="19" t="inlineStr">
        <is>
          <t>Quality Control</t>
        </is>
      </c>
      <c r="E30" s="19" t="inlineStr">
        <is>
          <t>Department Handbook</t>
        </is>
      </c>
      <c r="F30" s="19" t="inlineStr">
        <is>
          <t>L1-L5</t>
        </is>
      </c>
      <c r="G30" s="21" t="inlineStr">
        <is>
          <t>L1</t>
        </is>
      </c>
      <c r="H30" s="22" t="inlineStr">
        <is>
          <t>Yes</t>
        </is>
      </c>
      <c r="I30" s="22" t="inlineStr">
        <is>
          <t>Yes</t>
        </is>
      </c>
      <c r="J30" s="22" t="inlineStr">
        <is>
          <t>Yes</t>
        </is>
      </c>
      <c r="K30" s="22" t="inlineStr">
        <is>
          <t>Yes</t>
        </is>
      </c>
      <c r="L30" s="22" t="inlineStr">
        <is>
          <t>Yes</t>
        </is>
      </c>
    </row>
    <row r="31">
      <c r="A31" s="19" t="inlineStr">
        <is>
          <t>WFY-DPT-11</t>
        </is>
      </c>
      <c r="B31" s="20" t="inlineStr">
        <is>
          <t>Warehouse Handbook</t>
        </is>
      </c>
      <c r="C31" s="19" t="inlineStr">
        <is>
          <t>Factory / Manufacturing Operations</t>
        </is>
      </c>
      <c r="D31" s="19" t="inlineStr">
        <is>
          <t>Warehouse</t>
        </is>
      </c>
      <c r="E31" s="19" t="inlineStr">
        <is>
          <t>Department Handbook</t>
        </is>
      </c>
      <c r="F31" s="19" t="inlineStr">
        <is>
          <t>L1-L5</t>
        </is>
      </c>
      <c r="G31" s="21" t="inlineStr">
        <is>
          <t>L1</t>
        </is>
      </c>
      <c r="H31" s="22" t="inlineStr">
        <is>
          <t>Yes</t>
        </is>
      </c>
      <c r="I31" s="22" t="inlineStr">
        <is>
          <t>Yes</t>
        </is>
      </c>
      <c r="J31" s="22" t="inlineStr">
        <is>
          <t>Yes</t>
        </is>
      </c>
      <c r="K31" s="22" t="inlineStr">
        <is>
          <t>Yes</t>
        </is>
      </c>
      <c r="L31" s="22" t="inlineStr">
        <is>
          <t>Yes</t>
        </is>
      </c>
    </row>
    <row r="32">
      <c r="A32" s="19" t="inlineStr">
        <is>
          <t>WFY-DPT-12</t>
        </is>
      </c>
      <c r="B32" s="20" t="inlineStr">
        <is>
          <t>Logistics Handbook</t>
        </is>
      </c>
      <c r="C32" s="19" t="inlineStr">
        <is>
          <t>Factory / Manufacturing Operations</t>
        </is>
      </c>
      <c r="D32" s="19" t="inlineStr">
        <is>
          <t>Logistics</t>
        </is>
      </c>
      <c r="E32" s="19" t="inlineStr">
        <is>
          <t>Department Handbook</t>
        </is>
      </c>
      <c r="F32" s="19" t="inlineStr">
        <is>
          <t>L1-L5</t>
        </is>
      </c>
      <c r="G32" s="21" t="inlineStr">
        <is>
          <t>L1</t>
        </is>
      </c>
      <c r="H32" s="22" t="inlineStr">
        <is>
          <t>Yes</t>
        </is>
      </c>
      <c r="I32" s="22" t="inlineStr">
        <is>
          <t>Yes</t>
        </is>
      </c>
      <c r="J32" s="22" t="inlineStr">
        <is>
          <t>Yes</t>
        </is>
      </c>
      <c r="K32" s="22" t="inlineStr">
        <is>
          <t>Yes</t>
        </is>
      </c>
      <c r="L32" s="22" t="inlineStr">
        <is>
          <t>Yes</t>
        </is>
      </c>
    </row>
    <row r="33">
      <c r="A33" s="19" t="inlineStr">
        <is>
          <t>WFY-DPT-13</t>
        </is>
      </c>
      <c r="B33" s="20" t="inlineStr">
        <is>
          <t>Maintenance Handbook</t>
        </is>
      </c>
      <c r="C33" s="19" t="inlineStr">
        <is>
          <t>Factory / Manufacturing Operations</t>
        </is>
      </c>
      <c r="D33" s="19" t="inlineStr">
        <is>
          <t>Maintenance</t>
        </is>
      </c>
      <c r="E33" s="19" t="inlineStr">
        <is>
          <t>Department Handbook</t>
        </is>
      </c>
      <c r="F33" s="19" t="inlineStr">
        <is>
          <t>L1-L5</t>
        </is>
      </c>
      <c r="G33" s="21" t="inlineStr">
        <is>
          <t>L1</t>
        </is>
      </c>
      <c r="H33" s="22" t="inlineStr">
        <is>
          <t>Yes</t>
        </is>
      </c>
      <c r="I33" s="22" t="inlineStr">
        <is>
          <t>Yes</t>
        </is>
      </c>
      <c r="J33" s="22" t="inlineStr">
        <is>
          <t>Yes</t>
        </is>
      </c>
      <c r="K33" s="22" t="inlineStr">
        <is>
          <t>Yes</t>
        </is>
      </c>
      <c r="L33" s="22" t="inlineStr">
        <is>
          <t>Yes</t>
        </is>
      </c>
    </row>
    <row r="34">
      <c r="A34" s="19" t="inlineStr">
        <is>
          <t>WFY-DPT-14</t>
        </is>
      </c>
      <c r="B34" s="20" t="inlineStr">
        <is>
          <t>Factory EHS Handbook</t>
        </is>
      </c>
      <c r="C34" s="19" t="inlineStr">
        <is>
          <t>Factory / Manufacturing Operations</t>
        </is>
      </c>
      <c r="D34" s="19" t="inlineStr">
        <is>
          <t>EHS</t>
        </is>
      </c>
      <c r="E34" s="19" t="inlineStr">
        <is>
          <t>Department Handbook</t>
        </is>
      </c>
      <c r="F34" s="19" t="inlineStr">
        <is>
          <t>L1-L5</t>
        </is>
      </c>
      <c r="G34" s="21" t="inlineStr">
        <is>
          <t>L1</t>
        </is>
      </c>
      <c r="H34" s="22" t="inlineStr">
        <is>
          <t>Yes</t>
        </is>
      </c>
      <c r="I34" s="22" t="inlineStr">
        <is>
          <t>Yes</t>
        </is>
      </c>
      <c r="J34" s="22" t="inlineStr">
        <is>
          <t>Yes</t>
        </is>
      </c>
      <c r="K34" s="22" t="inlineStr">
        <is>
          <t>Yes</t>
        </is>
      </c>
      <c r="L34" s="22" t="inlineStr">
        <is>
          <t>Yes</t>
        </is>
      </c>
    </row>
    <row r="35">
      <c r="A35" s="19" t="inlineStr">
        <is>
          <t>WFY-DPT-15</t>
        </is>
      </c>
      <c r="B35" s="20" t="inlineStr">
        <is>
          <t>Installation Handbook</t>
        </is>
      </c>
      <c r="C35" s="19" t="inlineStr">
        <is>
          <t>Installation / Service / Warranty Operations</t>
        </is>
      </c>
      <c r="D35" s="19" t="inlineStr">
        <is>
          <t>Installation</t>
        </is>
      </c>
      <c r="E35" s="19" t="inlineStr">
        <is>
          <t>Department Handbook</t>
        </is>
      </c>
      <c r="F35" s="19" t="inlineStr">
        <is>
          <t>L1-L5</t>
        </is>
      </c>
      <c r="G35" s="21" t="inlineStr">
        <is>
          <t>L1</t>
        </is>
      </c>
      <c r="H35" s="22" t="inlineStr">
        <is>
          <t>Yes</t>
        </is>
      </c>
      <c r="I35" s="22" t="inlineStr">
        <is>
          <t>Yes</t>
        </is>
      </c>
      <c r="J35" s="22" t="inlineStr">
        <is>
          <t>Yes</t>
        </is>
      </c>
      <c r="K35" s="22" t="inlineStr">
        <is>
          <t>Yes</t>
        </is>
      </c>
      <c r="L35" s="22" t="inlineStr">
        <is>
          <t>Yes</t>
        </is>
      </c>
    </row>
    <row r="36">
      <c r="A36" s="19" t="inlineStr">
        <is>
          <t>WFY-DPT-16</t>
        </is>
      </c>
      <c r="B36" s="20" t="inlineStr">
        <is>
          <t>Procurement Handbook</t>
        </is>
      </c>
      <c r="C36" s="19" t="inlineStr">
        <is>
          <t>Shared Woodify Operations</t>
        </is>
      </c>
      <c r="D36" s="19" t="inlineStr">
        <is>
          <t>Procurement</t>
        </is>
      </c>
      <c r="E36" s="19" t="inlineStr">
        <is>
          <t>Department Handbook</t>
        </is>
      </c>
      <c r="F36" s="19" t="inlineStr">
        <is>
          <t>L1-L5</t>
        </is>
      </c>
      <c r="G36" s="21" t="inlineStr">
        <is>
          <t>L1</t>
        </is>
      </c>
      <c r="H36" s="22" t="inlineStr">
        <is>
          <t>Yes</t>
        </is>
      </c>
      <c r="I36" s="22" t="inlineStr">
        <is>
          <t>Yes</t>
        </is>
      </c>
      <c r="J36" s="22" t="inlineStr">
        <is>
          <t>Yes</t>
        </is>
      </c>
      <c r="K36" s="22" t="inlineStr">
        <is>
          <t>Yes</t>
        </is>
      </c>
      <c r="L36" s="22" t="inlineStr">
        <is>
          <t>Yes</t>
        </is>
      </c>
    </row>
    <row r="37">
      <c r="A37" s="19" t="inlineStr">
        <is>
          <t>TSK-SOP-01</t>
        </is>
      </c>
      <c r="B37" s="20" t="inlineStr">
        <is>
          <t>Taskon Product Catalogue &amp; Specification Handbook</t>
        </is>
      </c>
      <c r="C37" s="19" t="inlineStr">
        <is>
          <t>Taskon</t>
        </is>
      </c>
      <c r="D37" s="19" t="inlineStr">
        <is>
          <t>Product</t>
        </is>
      </c>
      <c r="E37" s="19" t="inlineStr">
        <is>
          <t>SOP Handbook</t>
        </is>
      </c>
      <c r="F37" s="19" t="inlineStr">
        <is>
          <t>L2-L5</t>
        </is>
      </c>
      <c r="G37" s="21" t="inlineStr">
        <is>
          <t>L2</t>
        </is>
      </c>
      <c r="H37" s="23" t="inlineStr">
        <is>
          <t>-</t>
        </is>
      </c>
      <c r="I37" s="22" t="inlineStr">
        <is>
          <t>Yes</t>
        </is>
      </c>
      <c r="J37" s="22" t="inlineStr">
        <is>
          <t>Yes</t>
        </is>
      </c>
      <c r="K37" s="22" t="inlineStr">
        <is>
          <t>Yes</t>
        </is>
      </c>
      <c r="L37" s="22" t="inlineStr">
        <is>
          <t>Yes</t>
        </is>
      </c>
    </row>
    <row r="38">
      <c r="A38" s="19" t="inlineStr">
        <is>
          <t>TSK-SOP-02</t>
        </is>
      </c>
      <c r="B38" s="20" t="inlineStr">
        <is>
          <t>Taskon Warranty &amp; Service Handbook</t>
        </is>
      </c>
      <c r="C38" s="19" t="inlineStr">
        <is>
          <t>Taskon</t>
        </is>
      </c>
      <c r="D38" s="19" t="inlineStr">
        <is>
          <t>Service</t>
        </is>
      </c>
      <c r="E38" s="19" t="inlineStr">
        <is>
          <t>SOP Handbook</t>
        </is>
      </c>
      <c r="F38" s="19" t="inlineStr">
        <is>
          <t>L2-L5</t>
        </is>
      </c>
      <c r="G38" s="21" t="inlineStr">
        <is>
          <t>L2</t>
        </is>
      </c>
      <c r="H38" s="23" t="inlineStr">
        <is>
          <t>-</t>
        </is>
      </c>
      <c r="I38" s="22" t="inlineStr">
        <is>
          <t>Yes</t>
        </is>
      </c>
      <c r="J38" s="22" t="inlineStr">
        <is>
          <t>Yes</t>
        </is>
      </c>
      <c r="K38" s="22" t="inlineStr">
        <is>
          <t>Yes</t>
        </is>
      </c>
      <c r="L38" s="22" t="inlineStr">
        <is>
          <t>Yes</t>
        </is>
      </c>
    </row>
    <row r="39">
      <c r="A39" s="19" t="inlineStr">
        <is>
          <t>TSK-SOP-03</t>
        </is>
      </c>
      <c r="B39" s="20" t="inlineStr">
        <is>
          <t>Taskon Logistics &amp; Dispatch Handbook</t>
        </is>
      </c>
      <c r="C39" s="19" t="inlineStr">
        <is>
          <t>Taskon</t>
        </is>
      </c>
      <c r="D39" s="19" t="inlineStr">
        <is>
          <t>Logistics</t>
        </is>
      </c>
      <c r="E39" s="19" t="inlineStr">
        <is>
          <t>SOP Handbook</t>
        </is>
      </c>
      <c r="F39" s="19" t="inlineStr">
        <is>
          <t>L2-L5</t>
        </is>
      </c>
      <c r="G39" s="21" t="inlineStr">
        <is>
          <t>L2</t>
        </is>
      </c>
      <c r="H39" s="23" t="inlineStr">
        <is>
          <t>-</t>
        </is>
      </c>
      <c r="I39" s="22" t="inlineStr">
        <is>
          <t>Yes</t>
        </is>
      </c>
      <c r="J39" s="22" t="inlineStr">
        <is>
          <t>Yes</t>
        </is>
      </c>
      <c r="K39" s="22" t="inlineStr">
        <is>
          <t>Yes</t>
        </is>
      </c>
      <c r="L39" s="22" t="inlineStr">
        <is>
          <t>Yes</t>
        </is>
      </c>
    </row>
    <row r="40">
      <c r="A40" s="19" t="inlineStr">
        <is>
          <t>TSK-SOP-04</t>
        </is>
      </c>
      <c r="B40" s="20" t="inlineStr">
        <is>
          <t>Taskon Product Installation &amp; Demo Handbook</t>
        </is>
      </c>
      <c r="C40" s="19" t="inlineStr">
        <is>
          <t>Taskon</t>
        </is>
      </c>
      <c r="D40" s="19" t="inlineStr">
        <is>
          <t>Installation</t>
        </is>
      </c>
      <c r="E40" s="19" t="inlineStr">
        <is>
          <t>SOP Handbook</t>
        </is>
      </c>
      <c r="F40" s="19" t="inlineStr">
        <is>
          <t>L2-L5</t>
        </is>
      </c>
      <c r="G40" s="21" t="inlineStr">
        <is>
          <t>L2</t>
        </is>
      </c>
      <c r="H40" s="23" t="inlineStr">
        <is>
          <t>-</t>
        </is>
      </c>
      <c r="I40" s="22" t="inlineStr">
        <is>
          <t>Yes</t>
        </is>
      </c>
      <c r="J40" s="22" t="inlineStr">
        <is>
          <t>Yes</t>
        </is>
      </c>
      <c r="K40" s="22" t="inlineStr">
        <is>
          <t>Yes</t>
        </is>
      </c>
      <c r="L40" s="22" t="inlineStr">
        <is>
          <t>Yes</t>
        </is>
      </c>
    </row>
    <row r="41">
      <c r="A41" s="19" t="inlineStr">
        <is>
          <t>TSK-SOP-05</t>
        </is>
      </c>
      <c r="B41" s="20" t="inlineStr">
        <is>
          <t>Taskon Customer Complaint Closure Handbook</t>
        </is>
      </c>
      <c r="C41" s="19" t="inlineStr">
        <is>
          <t>Taskon</t>
        </is>
      </c>
      <c r="D41" s="19" t="inlineStr">
        <is>
          <t>Service</t>
        </is>
      </c>
      <c r="E41" s="19" t="inlineStr">
        <is>
          <t>SOP Handbook</t>
        </is>
      </c>
      <c r="F41" s="19" t="inlineStr">
        <is>
          <t>L2-L5</t>
        </is>
      </c>
      <c r="G41" s="21" t="inlineStr">
        <is>
          <t>L2</t>
        </is>
      </c>
      <c r="H41" s="23" t="inlineStr">
        <is>
          <t>-</t>
        </is>
      </c>
      <c r="I41" s="22" t="inlineStr">
        <is>
          <t>Yes</t>
        </is>
      </c>
      <c r="J41" s="22" t="inlineStr">
        <is>
          <t>Yes</t>
        </is>
      </c>
      <c r="K41" s="22" t="inlineStr">
        <is>
          <t>Yes</t>
        </is>
      </c>
      <c r="L41" s="22" t="inlineStr">
        <is>
          <t>Yes</t>
        </is>
      </c>
    </row>
    <row r="42">
      <c r="A42" s="19" t="inlineStr">
        <is>
          <t>WFH-DPT-04</t>
        </is>
      </c>
      <c r="B42" s="20" t="inlineStr">
        <is>
          <t>Estimation &amp; Quotation Handbook</t>
        </is>
      </c>
      <c r="C42" s="19" t="inlineStr">
        <is>
          <t>Woodify Homes</t>
        </is>
      </c>
      <c r="D42" s="19" t="inlineStr">
        <is>
          <t>Estimation</t>
        </is>
      </c>
      <c r="E42" s="19" t="inlineStr">
        <is>
          <t>Department Handbook</t>
        </is>
      </c>
      <c r="F42" s="19" t="inlineStr">
        <is>
          <t>L2-L5</t>
        </is>
      </c>
      <c r="G42" s="21" t="inlineStr">
        <is>
          <t>L2</t>
        </is>
      </c>
      <c r="H42" s="23" t="inlineStr">
        <is>
          <t>-</t>
        </is>
      </c>
      <c r="I42" s="22" t="inlineStr">
        <is>
          <t>Yes</t>
        </is>
      </c>
      <c r="J42" s="22" t="inlineStr">
        <is>
          <t>Yes</t>
        </is>
      </c>
      <c r="K42" s="22" t="inlineStr">
        <is>
          <t>Yes</t>
        </is>
      </c>
      <c r="L42" s="22" t="inlineStr">
        <is>
          <t>Yes</t>
        </is>
      </c>
    </row>
    <row r="43">
      <c r="A43" s="19" t="inlineStr">
        <is>
          <t>WFH-SOP-01</t>
        </is>
      </c>
      <c r="B43" s="20" t="inlineStr">
        <is>
          <t>Dispatch, Logistics &amp; Delivery Handbook</t>
        </is>
      </c>
      <c r="C43" s="19" t="inlineStr">
        <is>
          <t>Woodify Homes</t>
        </is>
      </c>
      <c r="D43" s="19" t="inlineStr">
        <is>
          <t>Logistics</t>
        </is>
      </c>
      <c r="E43" s="19" t="inlineStr">
        <is>
          <t>SOP Handbook</t>
        </is>
      </c>
      <c r="F43" s="19" t="inlineStr">
        <is>
          <t>L2-L5</t>
        </is>
      </c>
      <c r="G43" s="21" t="inlineStr">
        <is>
          <t>L2</t>
        </is>
      </c>
      <c r="H43" s="23" t="inlineStr">
        <is>
          <t>-</t>
        </is>
      </c>
      <c r="I43" s="22" t="inlineStr">
        <is>
          <t>Yes</t>
        </is>
      </c>
      <c r="J43" s="22" t="inlineStr">
        <is>
          <t>Yes</t>
        </is>
      </c>
      <c r="K43" s="22" t="inlineStr">
        <is>
          <t>Yes</t>
        </is>
      </c>
      <c r="L43" s="22" t="inlineStr">
        <is>
          <t>Yes</t>
        </is>
      </c>
    </row>
    <row r="44">
      <c r="A44" s="19" t="inlineStr">
        <is>
          <t>WFY-DPT-04</t>
        </is>
      </c>
      <c r="B44" s="20" t="inlineStr">
        <is>
          <t>R&amp;D Handbook</t>
        </is>
      </c>
      <c r="C44" s="19" t="inlineStr">
        <is>
          <t>Woodify Office Furniture</t>
        </is>
      </c>
      <c r="D44" s="19" t="inlineStr">
        <is>
          <t>R&amp;D</t>
        </is>
      </c>
      <c r="E44" s="19" t="inlineStr">
        <is>
          <t>Department Handbook</t>
        </is>
      </c>
      <c r="F44" s="19" t="inlineStr">
        <is>
          <t>L2-L5</t>
        </is>
      </c>
      <c r="G44" s="21" t="inlineStr">
        <is>
          <t>L2</t>
        </is>
      </c>
      <c r="H44" s="23" t="inlineStr">
        <is>
          <t>-</t>
        </is>
      </c>
      <c r="I44" s="22" t="inlineStr">
        <is>
          <t>Yes</t>
        </is>
      </c>
      <c r="J44" s="22" t="inlineStr">
        <is>
          <t>Yes</t>
        </is>
      </c>
      <c r="K44" s="22" t="inlineStr">
        <is>
          <t>Yes</t>
        </is>
      </c>
      <c r="L44" s="22" t="inlineStr">
        <is>
          <t>Yes</t>
        </is>
      </c>
    </row>
    <row r="45">
      <c r="A45" s="19" t="inlineStr">
        <is>
          <t>WFY-DPT-17</t>
        </is>
      </c>
      <c r="B45" s="20" t="inlineStr">
        <is>
          <t>Accounts Handbook</t>
        </is>
      </c>
      <c r="C45" s="19" t="inlineStr">
        <is>
          <t>Shared Woodify Operations</t>
        </is>
      </c>
      <c r="D45" s="19" t="inlineStr">
        <is>
          <t>Accounts</t>
        </is>
      </c>
      <c r="E45" s="19" t="inlineStr">
        <is>
          <t>Department Handbook</t>
        </is>
      </c>
      <c r="F45" s="19" t="inlineStr">
        <is>
          <t>L2-L5</t>
        </is>
      </c>
      <c r="G45" s="21" t="inlineStr">
        <is>
          <t>L2</t>
        </is>
      </c>
      <c r="H45" s="23" t="inlineStr">
        <is>
          <t>-</t>
        </is>
      </c>
      <c r="I45" s="22" t="inlineStr">
        <is>
          <t>Yes</t>
        </is>
      </c>
      <c r="J45" s="22" t="inlineStr">
        <is>
          <t>Yes</t>
        </is>
      </c>
      <c r="K45" s="22" t="inlineStr">
        <is>
          <t>Yes</t>
        </is>
      </c>
      <c r="L45" s="22" t="inlineStr">
        <is>
          <t>Yes</t>
        </is>
      </c>
    </row>
    <row r="46">
      <c r="A46" s="19" t="inlineStr">
        <is>
          <t>WFY-DPT-18</t>
        </is>
      </c>
      <c r="B46" s="20" t="inlineStr">
        <is>
          <t>Finance Handbook</t>
        </is>
      </c>
      <c r="C46" s="19" t="inlineStr">
        <is>
          <t>Shared Woodify Operations</t>
        </is>
      </c>
      <c r="D46" s="19" t="inlineStr">
        <is>
          <t>Finance</t>
        </is>
      </c>
      <c r="E46" s="19" t="inlineStr">
        <is>
          <t>Department Handbook</t>
        </is>
      </c>
      <c r="F46" s="19" t="inlineStr">
        <is>
          <t>L2-L5</t>
        </is>
      </c>
      <c r="G46" s="21" t="inlineStr">
        <is>
          <t>L2</t>
        </is>
      </c>
      <c r="H46" s="23" t="inlineStr">
        <is>
          <t>-</t>
        </is>
      </c>
      <c r="I46" s="22" t="inlineStr">
        <is>
          <t>Yes</t>
        </is>
      </c>
      <c r="J46" s="22" t="inlineStr">
        <is>
          <t>Yes</t>
        </is>
      </c>
      <c r="K46" s="22" t="inlineStr">
        <is>
          <t>Yes</t>
        </is>
      </c>
      <c r="L46" s="22" t="inlineStr">
        <is>
          <t>Yes</t>
        </is>
      </c>
    </row>
    <row r="47">
      <c r="A47" s="19" t="inlineStr">
        <is>
          <t>WFY-DPT-19</t>
        </is>
      </c>
      <c r="B47" s="20" t="inlineStr">
        <is>
          <t>HR Handbook</t>
        </is>
      </c>
      <c r="C47" s="19" t="inlineStr">
        <is>
          <t>Shared Woodify Operations</t>
        </is>
      </c>
      <c r="D47" s="19" t="inlineStr">
        <is>
          <t>HR</t>
        </is>
      </c>
      <c r="E47" s="19" t="inlineStr">
        <is>
          <t>Department Handbook</t>
        </is>
      </c>
      <c r="F47" s="19" t="inlineStr">
        <is>
          <t>L2-L5</t>
        </is>
      </c>
      <c r="G47" s="21" t="inlineStr">
        <is>
          <t>L2</t>
        </is>
      </c>
      <c r="H47" s="23" t="inlineStr">
        <is>
          <t>-</t>
        </is>
      </c>
      <c r="I47" s="22" t="inlineStr">
        <is>
          <t>Yes</t>
        </is>
      </c>
      <c r="J47" s="22" t="inlineStr">
        <is>
          <t>Yes</t>
        </is>
      </c>
      <c r="K47" s="22" t="inlineStr">
        <is>
          <t>Yes</t>
        </is>
      </c>
      <c r="L47" s="22" t="inlineStr">
        <is>
          <t>Yes</t>
        </is>
      </c>
    </row>
    <row r="48">
      <c r="A48" s="19" t="inlineStr">
        <is>
          <t>WFY-DPT-20</t>
        </is>
      </c>
      <c r="B48" s="20" t="inlineStr">
        <is>
          <t>Admin Handbook</t>
        </is>
      </c>
      <c r="C48" s="19" t="inlineStr">
        <is>
          <t>Shared Woodify Operations</t>
        </is>
      </c>
      <c r="D48" s="19" t="inlineStr">
        <is>
          <t>Admin</t>
        </is>
      </c>
      <c r="E48" s="19" t="inlineStr">
        <is>
          <t>Department Handbook</t>
        </is>
      </c>
      <c r="F48" s="19" t="inlineStr">
        <is>
          <t>L2-L5</t>
        </is>
      </c>
      <c r="G48" s="21" t="inlineStr">
        <is>
          <t>L2</t>
        </is>
      </c>
      <c r="H48" s="23" t="inlineStr">
        <is>
          <t>-</t>
        </is>
      </c>
      <c r="I48" s="22" t="inlineStr">
        <is>
          <t>Yes</t>
        </is>
      </c>
      <c r="J48" s="22" t="inlineStr">
        <is>
          <t>Yes</t>
        </is>
      </c>
      <c r="K48" s="22" t="inlineStr">
        <is>
          <t>Yes</t>
        </is>
      </c>
      <c r="L48" s="22" t="inlineStr">
        <is>
          <t>Yes</t>
        </is>
      </c>
    </row>
    <row r="49">
      <c r="A49" s="19" t="inlineStr">
        <is>
          <t>WFY-DPT-21</t>
        </is>
      </c>
      <c r="B49" s="20" t="inlineStr">
        <is>
          <t>IT Handbook</t>
        </is>
      </c>
      <c r="C49" s="19" t="inlineStr">
        <is>
          <t>Shared Woodify Operations</t>
        </is>
      </c>
      <c r="D49" s="19" t="inlineStr">
        <is>
          <t>IT</t>
        </is>
      </c>
      <c r="E49" s="19" t="inlineStr">
        <is>
          <t>Department Handbook</t>
        </is>
      </c>
      <c r="F49" s="19" t="inlineStr">
        <is>
          <t>L2-L5</t>
        </is>
      </c>
      <c r="G49" s="21" t="inlineStr">
        <is>
          <t>L2</t>
        </is>
      </c>
      <c r="H49" s="23" t="inlineStr">
        <is>
          <t>-</t>
        </is>
      </c>
      <c r="I49" s="22" t="inlineStr">
        <is>
          <t>Yes</t>
        </is>
      </c>
      <c r="J49" s="22" t="inlineStr">
        <is>
          <t>Yes</t>
        </is>
      </c>
      <c r="K49" s="22" t="inlineStr">
        <is>
          <t>Yes</t>
        </is>
      </c>
      <c r="L49" s="22" t="inlineStr">
        <is>
          <t>Yes</t>
        </is>
      </c>
    </row>
    <row r="50">
      <c r="A50" s="19" t="inlineStr">
        <is>
          <t>WFY-SOP-01</t>
        </is>
      </c>
      <c r="B50" s="20" t="inlineStr">
        <is>
          <t>Product Catalogue &amp; Specification Handbook</t>
        </is>
      </c>
      <c r="C50" s="19" t="inlineStr">
        <is>
          <t>Woodify Office Furniture</t>
        </is>
      </c>
      <c r="D50" s="19" t="inlineStr">
        <is>
          <t>Product</t>
        </is>
      </c>
      <c r="E50" s="19" t="inlineStr">
        <is>
          <t>SOP Handbook</t>
        </is>
      </c>
      <c r="F50" s="19" t="inlineStr">
        <is>
          <t>L2-L5</t>
        </is>
      </c>
      <c r="G50" s="21" t="inlineStr">
        <is>
          <t>L2</t>
        </is>
      </c>
      <c r="H50" s="23" t="inlineStr">
        <is>
          <t>-</t>
        </is>
      </c>
      <c r="I50" s="22" t="inlineStr">
        <is>
          <t>Yes</t>
        </is>
      </c>
      <c r="J50" s="22" t="inlineStr">
        <is>
          <t>Yes</t>
        </is>
      </c>
      <c r="K50" s="22" t="inlineStr">
        <is>
          <t>Yes</t>
        </is>
      </c>
      <c r="L50" s="22" t="inlineStr">
        <is>
          <t>Yes</t>
        </is>
      </c>
    </row>
    <row r="51">
      <c r="A51" s="19" t="inlineStr">
        <is>
          <t>WFY-SOP-02</t>
        </is>
      </c>
      <c r="B51" s="20" t="inlineStr">
        <is>
          <t>Dealer &amp; Channel Sales Handbook</t>
        </is>
      </c>
      <c r="C51" s="19" t="inlineStr">
        <is>
          <t>Woodify Office Furniture</t>
        </is>
      </c>
      <c r="D51" s="19" t="inlineStr">
        <is>
          <t>Sales</t>
        </is>
      </c>
      <c r="E51" s="19" t="inlineStr">
        <is>
          <t>SOP Handbook</t>
        </is>
      </c>
      <c r="F51" s="19" t="inlineStr">
        <is>
          <t>L2-L5</t>
        </is>
      </c>
      <c r="G51" s="21" t="inlineStr">
        <is>
          <t>L2</t>
        </is>
      </c>
      <c r="H51" s="23" t="inlineStr">
        <is>
          <t>-</t>
        </is>
      </c>
      <c r="I51" s="22" t="inlineStr">
        <is>
          <t>Yes</t>
        </is>
      </c>
      <c r="J51" s="22" t="inlineStr">
        <is>
          <t>Yes</t>
        </is>
      </c>
      <c r="K51" s="22" t="inlineStr">
        <is>
          <t>Yes</t>
        </is>
      </c>
      <c r="L51" s="22" t="inlineStr">
        <is>
          <t>Yes</t>
        </is>
      </c>
    </row>
    <row r="52">
      <c r="A52" s="19" t="inlineStr">
        <is>
          <t>WFY-SOP-03</t>
        </is>
      </c>
      <c r="B52" s="20" t="inlineStr">
        <is>
          <t>Product Photography &amp; Catalogue Management Handbook</t>
        </is>
      </c>
      <c r="C52" s="19" t="inlineStr">
        <is>
          <t>Woodify Office Furniture</t>
        </is>
      </c>
      <c r="D52" s="19" t="inlineStr">
        <is>
          <t>Marketing</t>
        </is>
      </c>
      <c r="E52" s="19" t="inlineStr">
        <is>
          <t>SOP Handbook</t>
        </is>
      </c>
      <c r="F52" s="19" t="inlineStr">
        <is>
          <t>L2-L5</t>
        </is>
      </c>
      <c r="G52" s="21" t="inlineStr">
        <is>
          <t>L2</t>
        </is>
      </c>
      <c r="H52" s="23" t="inlineStr">
        <is>
          <t>-</t>
        </is>
      </c>
      <c r="I52" s="22" t="inlineStr">
        <is>
          <t>Yes</t>
        </is>
      </c>
      <c r="J52" s="22" t="inlineStr">
        <is>
          <t>Yes</t>
        </is>
      </c>
      <c r="K52" s="22" t="inlineStr">
        <is>
          <t>Yes</t>
        </is>
      </c>
      <c r="L52" s="22" t="inlineStr">
        <is>
          <t>Yes</t>
        </is>
      </c>
    </row>
    <row r="53">
      <c r="A53" s="19" t="inlineStr">
        <is>
          <t>WFY-SOP-04</t>
        </is>
      </c>
      <c r="B53" s="20" t="inlineStr">
        <is>
          <t>Material Standards Handbook</t>
        </is>
      </c>
      <c r="C53" s="19" t="inlineStr">
        <is>
          <t>Factory / Manufacturing Operations</t>
        </is>
      </c>
      <c r="D53" s="19" t="inlineStr">
        <is>
          <t>Quality</t>
        </is>
      </c>
      <c r="E53" s="19" t="inlineStr">
        <is>
          <t>SOP Handbook</t>
        </is>
      </c>
      <c r="F53" s="19" t="inlineStr">
        <is>
          <t>L2-L5</t>
        </is>
      </c>
      <c r="G53" s="21" t="inlineStr">
        <is>
          <t>L2</t>
        </is>
      </c>
      <c r="H53" s="23" t="inlineStr">
        <is>
          <t>-</t>
        </is>
      </c>
      <c r="I53" s="22" t="inlineStr">
        <is>
          <t>Yes</t>
        </is>
      </c>
      <c r="J53" s="22" t="inlineStr">
        <is>
          <t>Yes</t>
        </is>
      </c>
      <c r="K53" s="22" t="inlineStr">
        <is>
          <t>Yes</t>
        </is>
      </c>
      <c r="L53" s="22" t="inlineStr">
        <is>
          <t>Yes</t>
        </is>
      </c>
    </row>
    <row r="54">
      <c r="A54" s="19" t="inlineStr">
        <is>
          <t>WFY-SOP-05</t>
        </is>
      </c>
      <c r="B54" s="20" t="inlineStr">
        <is>
          <t>Factory Quality Gate Handbook</t>
        </is>
      </c>
      <c r="C54" s="19" t="inlineStr">
        <is>
          <t>Factory / Manufacturing Operations</t>
        </is>
      </c>
      <c r="D54" s="19" t="inlineStr">
        <is>
          <t>Quality</t>
        </is>
      </c>
      <c r="E54" s="19" t="inlineStr">
        <is>
          <t>SOP Handbook</t>
        </is>
      </c>
      <c r="F54" s="19" t="inlineStr">
        <is>
          <t>L2-L5</t>
        </is>
      </c>
      <c r="G54" s="21" t="inlineStr">
        <is>
          <t>L2</t>
        </is>
      </c>
      <c r="H54" s="23" t="inlineStr">
        <is>
          <t>-</t>
        </is>
      </c>
      <c r="I54" s="22" t="inlineStr">
        <is>
          <t>Yes</t>
        </is>
      </c>
      <c r="J54" s="22" t="inlineStr">
        <is>
          <t>Yes</t>
        </is>
      </c>
      <c r="K54" s="22" t="inlineStr">
        <is>
          <t>Yes</t>
        </is>
      </c>
      <c r="L54" s="22" t="inlineStr">
        <is>
          <t>Yes</t>
        </is>
      </c>
    </row>
    <row r="55">
      <c r="A55" s="19" t="inlineStr">
        <is>
          <t>WFY-SOP-06</t>
        </is>
      </c>
      <c r="B55" s="20" t="inlineStr">
        <is>
          <t>Installation Site Readiness Handbook</t>
        </is>
      </c>
      <c r="C55" s="19" t="inlineStr">
        <is>
          <t>Installation / Service / Warranty Operations</t>
        </is>
      </c>
      <c r="D55" s="19" t="inlineStr">
        <is>
          <t>Installation</t>
        </is>
      </c>
      <c r="E55" s="19" t="inlineStr">
        <is>
          <t>SOP Handbook</t>
        </is>
      </c>
      <c r="F55" s="19" t="inlineStr">
        <is>
          <t>L2-L5</t>
        </is>
      </c>
      <c r="G55" s="21" t="inlineStr">
        <is>
          <t>L2</t>
        </is>
      </c>
      <c r="H55" s="23" t="inlineStr">
        <is>
          <t>-</t>
        </is>
      </c>
      <c r="I55" s="22" t="inlineStr">
        <is>
          <t>Yes</t>
        </is>
      </c>
      <c r="J55" s="22" t="inlineStr">
        <is>
          <t>Yes</t>
        </is>
      </c>
      <c r="K55" s="22" t="inlineStr">
        <is>
          <t>Yes</t>
        </is>
      </c>
      <c r="L55" s="22" t="inlineStr">
        <is>
          <t>Yes</t>
        </is>
      </c>
    </row>
    <row r="56">
      <c r="A56" s="19" t="inlineStr">
        <is>
          <t>WFY-SOP-07</t>
        </is>
      </c>
      <c r="B56" s="20" t="inlineStr">
        <is>
          <t>Warranty, Service &amp; Complaint Resolution Handbook</t>
        </is>
      </c>
      <c r="C56" s="19" t="inlineStr">
        <is>
          <t>Installation / Service / Warranty Operations</t>
        </is>
      </c>
      <c r="D56" s="19" t="inlineStr">
        <is>
          <t>Service</t>
        </is>
      </c>
      <c r="E56" s="19" t="inlineStr">
        <is>
          <t>SOP Handbook</t>
        </is>
      </c>
      <c r="F56" s="19" t="inlineStr">
        <is>
          <t>L2-L5</t>
        </is>
      </c>
      <c r="G56" s="21" t="inlineStr">
        <is>
          <t>L2</t>
        </is>
      </c>
      <c r="H56" s="23" t="inlineStr">
        <is>
          <t>-</t>
        </is>
      </c>
      <c r="I56" s="22" t="inlineStr">
        <is>
          <t>Yes</t>
        </is>
      </c>
      <c r="J56" s="22" t="inlineStr">
        <is>
          <t>Yes</t>
        </is>
      </c>
      <c r="K56" s="22" t="inlineStr">
        <is>
          <t>Yes</t>
        </is>
      </c>
      <c r="L56" s="22" t="inlineStr">
        <is>
          <t>Yes</t>
        </is>
      </c>
    </row>
    <row r="57">
      <c r="A57" s="19" t="inlineStr">
        <is>
          <t>WFY-LDR-01</t>
        </is>
      </c>
      <c r="B57" s="20" t="inlineStr">
        <is>
          <t>Woodify Leadership Handbook</t>
        </is>
      </c>
      <c r="C57" s="19" t="inlineStr">
        <is>
          <t>Shared Woodify Operations</t>
        </is>
      </c>
      <c r="D57" s="19" t="inlineStr">
        <is>
          <t>Leadership</t>
        </is>
      </c>
      <c r="E57" s="19" t="inlineStr">
        <is>
          <t>Leadership Handbook</t>
        </is>
      </c>
      <c r="F57" s="19" t="inlineStr">
        <is>
          <t>L4-L5</t>
        </is>
      </c>
      <c r="G57" s="21" t="inlineStr">
        <is>
          <t>L4</t>
        </is>
      </c>
      <c r="H57" s="23" t="inlineStr">
        <is>
          <t>-</t>
        </is>
      </c>
      <c r="I57" s="23" t="inlineStr">
        <is>
          <t>-</t>
        </is>
      </c>
      <c r="J57" s="23" t="inlineStr">
        <is>
          <t>-</t>
        </is>
      </c>
      <c r="K57" s="22" t="inlineStr">
        <is>
          <t>Yes</t>
        </is>
      </c>
      <c r="L57" s="22" t="inlineStr">
        <is>
          <t>Yes</t>
        </is>
      </c>
    </row>
    <row r="58">
      <c r="A58" s="19" t="inlineStr">
        <is>
          <t>WFY-MGT-01</t>
        </is>
      </c>
      <c r="B58" s="20" t="inlineStr">
        <is>
          <t>Woodify Management Handbook</t>
        </is>
      </c>
      <c r="C58" s="19" t="inlineStr">
        <is>
          <t>Shared Woodify Operations</t>
        </is>
      </c>
      <c r="D58" s="19" t="inlineStr">
        <is>
          <t>Management</t>
        </is>
      </c>
      <c r="E58" s="19" t="inlineStr">
        <is>
          <t>Management Handbook</t>
        </is>
      </c>
      <c r="F58" s="19" t="inlineStr">
        <is>
          <t>L4-L5</t>
        </is>
      </c>
      <c r="G58" s="21" t="inlineStr">
        <is>
          <t>L4</t>
        </is>
      </c>
      <c r="H58" s="23" t="inlineStr">
        <is>
          <t>-</t>
        </is>
      </c>
      <c r="I58" s="23" t="inlineStr">
        <is>
          <t>-</t>
        </is>
      </c>
      <c r="J58" s="23" t="inlineStr">
        <is>
          <t>-</t>
        </is>
      </c>
      <c r="K58" s="22" t="inlineStr">
        <is>
          <t>Yes</t>
        </is>
      </c>
      <c r="L58" s="22" t="inlineStr">
        <is>
          <t>Yes</t>
        </is>
      </c>
    </row>
  </sheetData>
  <autoFilter ref="A5:L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50" customWidth="1" min="4" max="4"/>
    <col width="44" customWidth="1" min="5" max="5"/>
    <col width="22" customWidth="1" min="6" max="6"/>
  </cols>
  <sheetData>
    <row r="1">
      <c r="A1" s="1" t="inlineStr">
        <is>
          <t>SD GROUP - EMPLOYEE HANDBOOK REGISTER</t>
        </is>
      </c>
    </row>
    <row r="2">
      <c r="A2" s="2" t="inlineStr">
        <is>
          <t>5-LEVEL LEARNING STRUCTURE</t>
        </is>
      </c>
    </row>
    <row r="3">
      <c r="A3" s="3" t="inlineStr">
        <is>
          <t>Levels define who reads what. Paths are cumulative.</t>
        </is>
      </c>
    </row>
    <row r="5">
      <c r="A5" s="5" t="inlineStr">
        <is>
          <t>Level</t>
        </is>
      </c>
      <c r="B5" s="5" t="inlineStr">
        <is>
          <t>Level Name</t>
        </is>
      </c>
      <c r="C5" s="5" t="inlineStr">
        <is>
          <t>Typical Roles</t>
        </is>
      </c>
      <c r="D5" s="5" t="inlineStr">
        <is>
          <t>What This Level Adds</t>
        </is>
      </c>
      <c r="E5" s="5" t="inlineStr">
        <is>
          <t>Completion Gate</t>
        </is>
      </c>
      <c r="F5" s="5" t="inlineStr">
        <is>
          <t>Woodify books at this level</t>
        </is>
      </c>
    </row>
    <row r="6">
      <c r="A6" s="24" t="inlineStr">
        <is>
          <t>L1</t>
        </is>
      </c>
      <c r="B6" s="25" t="inlineStr">
        <is>
          <t>L1 - Foundation</t>
        </is>
      </c>
      <c r="C6" s="25" t="inlineStr">
        <is>
          <t>Trainee / Executive / Operator</t>
        </is>
      </c>
      <c r="D6" s="25" t="inlineStr">
        <is>
          <t>Group core conduct &amp; safety, own company handbook, own department basics</t>
        </is>
      </c>
      <c r="E6" s="25" t="inlineStr">
        <is>
          <t>Induction: complete within 30 days of joining</t>
        </is>
      </c>
      <c r="F6" s="24" t="n">
        <v>31</v>
      </c>
    </row>
    <row r="7">
      <c r="A7" s="26" t="inlineStr">
        <is>
          <t>L2</t>
        </is>
      </c>
      <c r="B7" s="27" t="inlineStr">
        <is>
          <t>L2 - Practitioner</t>
        </is>
      </c>
      <c r="C7" s="27" t="inlineStr">
        <is>
          <t>Senior Executive / Technician / Specialist</t>
        </is>
      </c>
      <c r="D7" s="27" t="inlineStr">
        <is>
          <t>Adds own-function SOPs: how the job is done to standard</t>
        </is>
      </c>
      <c r="E7" s="27" t="inlineStr">
        <is>
          <t>Complete before independent working / unsupervised sign-off</t>
        </is>
      </c>
      <c r="F7" s="26" t="n">
        <v>51</v>
      </c>
    </row>
    <row r="8">
      <c r="A8" s="24" t="inlineStr">
        <is>
          <t>L3</t>
        </is>
      </c>
      <c r="B8" s="25" t="inlineStr">
        <is>
          <t>L3 - Senior / Coordinator</t>
        </is>
      </c>
      <c r="C8" s="25" t="inlineStr">
        <is>
          <t>Senior Specialist / Team Coordinator / Lead</t>
        </is>
      </c>
      <c r="D8" s="25" t="inlineStr">
        <is>
          <t>Adds compliance books, escalation ownership, audit-facing material</t>
        </is>
      </c>
      <c r="E8" s="25" t="inlineStr">
        <is>
          <t>Complete before holding escalation or client-facing authority</t>
        </is>
      </c>
      <c r="F8" s="24" t="n">
        <v>51</v>
      </c>
    </row>
    <row r="9">
      <c r="A9" s="26" t="inlineStr">
        <is>
          <t>L4</t>
        </is>
      </c>
      <c r="B9" s="27" t="inlineStr">
        <is>
          <t>L4 - Manager / HOD</t>
        </is>
      </c>
      <c r="C9" s="27" t="inlineStr">
        <is>
          <t>Manager / Head of Department</t>
        </is>
      </c>
      <c r="D9" s="27" t="inlineStr">
        <is>
          <t>Adds the management set: DoA, MIS review, appraisal, risk, targets, HOD role</t>
        </is>
      </c>
      <c r="E9" s="27" t="inlineStr">
        <is>
          <t>Complete before confirmation in a people-management role</t>
        </is>
      </c>
      <c r="F9" s="26" t="n">
        <v>53</v>
      </c>
    </row>
    <row r="10">
      <c r="A10" s="24" t="inlineStr">
        <is>
          <t>L5</t>
        </is>
      </c>
      <c r="B10" s="25" t="inlineStr">
        <is>
          <t>L5 - Leadership</t>
        </is>
      </c>
      <c r="C10" s="25" t="inlineStr">
        <is>
          <t>Company Head / Function Head / Management</t>
        </is>
      </c>
      <c r="D10" s="25" t="inlineStr">
        <is>
          <t>Adds leadership set: Leadership Operating and Strategic Planning &amp; Review</t>
        </is>
      </c>
      <c r="E10" s="25" t="inlineStr">
        <is>
          <t>Complete within 90 days of appointment to leadership</t>
        </is>
      </c>
      <c r="F10" s="2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xSplit="2" ySplit="18" topLeftCell="C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52" customWidth="1" min="3" max="3"/>
    <col width="38" customWidth="1" min="4" max="4"/>
    <col width="22" customWidth="1" min="5" max="5"/>
    <col width="40" customWidth="1" min="6" max="6"/>
    <col width="8" customWidth="1" min="7" max="7"/>
    <col width="7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6" customWidth="1" min="17" max="17"/>
    <col width="13" customWidth="1" min="18" max="18"/>
    <col width="34" customWidth="1" min="19" max="19"/>
  </cols>
  <sheetData>
    <row r="1">
      <c r="A1" s="1" t="inlineStr">
        <is>
          <t>SD GROUP - EMPLOYEE HANDBOOK REGISTER</t>
        </is>
      </c>
    </row>
    <row r="2">
      <c r="A2" s="2" t="inlineStr">
        <is>
          <t>WOODIFY - SD ACADEMY WEBSITE UPLOAD CHECKLIST (53 books)</t>
        </is>
      </c>
    </row>
    <row r="3">
      <c r="A3" s="3" t="inlineStr">
        <is>
          <t>Portal admin working sheet. Complete every tick column per book, then set Current Status in the Register to 'Uploaded to SD Academy' / 'Access Tagged'.</t>
        </is>
      </c>
    </row>
    <row r="5">
      <c r="A5" s="4" t="inlineStr">
        <is>
          <t>A. PRE-UPLOAD STANDARDS - verify these before uploading any file</t>
        </is>
      </c>
    </row>
    <row r="6">
      <c r="A6" s="28" t="inlineStr">
        <is>
          <t>1. File is the FINAL branded PDF - entity logo on cover, corner logo and watermark on every interior page.</t>
        </is>
      </c>
    </row>
    <row r="7">
      <c r="A7" s="28" t="inlineStr">
        <is>
          <t>2. File name matches the 'PDF File Name' column EXACTLY (case, underscores and _V1.0.pdf suffix included).</t>
        </is>
      </c>
    </row>
    <row r="8">
      <c r="A8" s="28" t="inlineStr">
        <is>
          <t>3. Version block reads V1.0 | Effective 03-Jul-2026 | Next Review 01-Jul-2027 on the document control page.</t>
        </is>
      </c>
    </row>
    <row r="9">
      <c r="A9" s="28" t="inlineStr">
        <is>
          <t>4. Upload to the exact 'SD Academy Folder Path' shown - do not create new folders or rename existing ones.</t>
        </is>
      </c>
    </row>
    <row r="10">
      <c r="A10" s="28" t="inlineStr">
        <is>
          <t>5. Link the file to its 'Related SD Academy Course ID' before publishing.</t>
        </is>
      </c>
    </row>
    <row r="11">
      <c r="A11" s="28" t="inlineStr">
        <is>
          <t>6. Apply access tags exactly as the 'Access Tag' column states (company / division / level).</t>
        </is>
      </c>
    </row>
    <row r="12">
      <c r="A12" s="28" t="inlineStr">
        <is>
          <t>7. Where Quiz = Yes, attach the mapped quiz and set the pass mark to 80% before the book goes live.</t>
        </is>
      </c>
    </row>
    <row r="13">
      <c r="A13" s="28" t="inlineStr">
        <is>
          <t>8. Where Legal Review = Yes, confirm legal sign-off is recorded in the Register BEFORE upload.</t>
        </is>
      </c>
    </row>
    <row r="14">
      <c r="A14" s="28" t="inlineStr">
        <is>
          <t>9. After publishing, open the live link as a test user at the lowest permitted level and confirm it renders.</t>
        </is>
      </c>
    </row>
    <row r="15">
      <c r="A15" s="28" t="inlineStr">
        <is>
          <t>10. Only then push the acknowledgement campaign (7-day completion window).</t>
        </is>
      </c>
    </row>
    <row r="17">
      <c r="A17" s="4" t="inlineStr">
        <is>
          <t>B. PER-BOOK UPLOAD CHECKLIST</t>
        </is>
      </c>
    </row>
    <row r="18">
      <c r="A18" s="5" t="inlineStr">
        <is>
          <t>#</t>
        </is>
      </c>
      <c r="B18" s="5" t="inlineStr">
        <is>
          <t>Book ID</t>
        </is>
      </c>
      <c r="C18" s="5" t="inlineStr">
        <is>
          <t>PDF File Name (exact)</t>
        </is>
      </c>
      <c r="D18" s="5" t="inlineStr">
        <is>
          <t>SD Academy Folder Path</t>
        </is>
      </c>
      <c r="E18" s="5" t="inlineStr">
        <is>
          <t>Course ID</t>
        </is>
      </c>
      <c r="F18" s="5" t="inlineStr">
        <is>
          <t>Access Tag (company | division | level)</t>
        </is>
      </c>
      <c r="G18" s="5" t="inlineStr">
        <is>
          <t>Quiz</t>
        </is>
      </c>
      <c r="H18" s="5" t="inlineStr">
        <is>
          <t>Ack</t>
        </is>
      </c>
      <c r="I18" s="5" t="inlineStr">
        <is>
          <t>Legal Sign-off Confirmed</t>
        </is>
      </c>
      <c r="J18" s="29" t="inlineStr">
        <is>
          <t>1. File Uploaded</t>
        </is>
      </c>
      <c r="K18" s="29" t="inlineStr">
        <is>
          <t>2. Folder Path Verified</t>
        </is>
      </c>
      <c r="L18" s="29" t="inlineStr">
        <is>
          <t>3. Access Tags Applied</t>
        </is>
      </c>
      <c r="M18" s="29" t="inlineStr">
        <is>
          <t>4. Course Linked</t>
        </is>
      </c>
      <c r="N18" s="29" t="inlineStr">
        <is>
          <t>5. Quiz Attached</t>
        </is>
      </c>
      <c r="O18" s="29" t="inlineStr">
        <is>
          <t>6. Live Link Tested</t>
        </is>
      </c>
      <c r="P18" s="29" t="inlineStr">
        <is>
          <t>7. Ack Campaign Pushed</t>
        </is>
      </c>
      <c r="Q18" s="5" t="inlineStr">
        <is>
          <t>Uploaded By</t>
        </is>
      </c>
      <c r="R18" s="5" t="inlineStr">
        <is>
          <t>Upload Date</t>
        </is>
      </c>
      <c r="S18" s="5" t="inlineStr">
        <is>
          <t>Notes / Issues</t>
        </is>
      </c>
    </row>
    <row r="19">
      <c r="A19" s="11" t="n">
        <v>1</v>
      </c>
      <c r="B19" s="9" t="inlineStr">
        <is>
          <t>TSK-BRD-01</t>
        </is>
      </c>
      <c r="C19" s="10" t="inlineStr">
        <is>
          <t>SDG_Woodify_Taskon_Brand_Handbook_L1-L5_V1.0.pdf</t>
        </is>
      </c>
      <c r="D19" s="10" t="inlineStr">
        <is>
          <t>SD Academy/03_Woodify/02_Brand_Division_Handbooks</t>
        </is>
      </c>
      <c r="E19" s="9" t="inlineStr">
        <is>
          <t>SDA-CRS-TSK-BRD-01</t>
        </is>
      </c>
      <c r="F19" s="10" t="inlineStr">
        <is>
          <t>Woodify | Taskon | L1-L5</t>
        </is>
      </c>
      <c r="G19" s="11" t="inlineStr">
        <is>
          <t>No</t>
        </is>
      </c>
      <c r="H19" s="11" t="inlineStr">
        <is>
          <t>Yes</t>
        </is>
      </c>
      <c r="I19" s="12" t="inlineStr">
        <is>
          <t>REQUIRED</t>
        </is>
      </c>
      <c r="J19" s="30" t="inlineStr"/>
      <c r="K19" s="30" t="inlineStr"/>
      <c r="L19" s="30" t="inlineStr"/>
      <c r="M19" s="30" t="inlineStr"/>
      <c r="N19" s="30" t="inlineStr">
        <is>
          <t>n/a</t>
        </is>
      </c>
      <c r="O19" s="30" t="inlineStr"/>
      <c r="P19" s="30" t="inlineStr"/>
      <c r="Q19" s="9" t="inlineStr"/>
      <c r="R19" s="9" t="inlineStr"/>
      <c r="S19" s="10" t="inlineStr"/>
    </row>
    <row r="20">
      <c r="A20" s="16" t="n">
        <v>2</v>
      </c>
      <c r="B20" s="14" t="inlineStr">
        <is>
          <t>WFH-BRD-01</t>
        </is>
      </c>
      <c r="C20" s="15" t="inlineStr">
        <is>
          <t>SDG_Woodify_WoodifyHomes_Division_Handbook_L1-L5_V1.0.pdf</t>
        </is>
      </c>
      <c r="D20" s="15" t="inlineStr">
        <is>
          <t>SD Academy/03_Woodify/02_Brand_Division_Handbooks</t>
        </is>
      </c>
      <c r="E20" s="14" t="inlineStr">
        <is>
          <t>SDA-CRS-WFH-BRD-01</t>
        </is>
      </c>
      <c r="F20" s="15" t="inlineStr">
        <is>
          <t>Woodify | Woodify Homes | L1-L5</t>
        </is>
      </c>
      <c r="G20" s="11" t="inlineStr">
        <is>
          <t>No</t>
        </is>
      </c>
      <c r="H20" s="11" t="inlineStr">
        <is>
          <t>Yes</t>
        </is>
      </c>
      <c r="I20" s="12" t="inlineStr">
        <is>
          <t>REQUIRED</t>
        </is>
      </c>
      <c r="J20" s="30" t="inlineStr"/>
      <c r="K20" s="30" t="inlineStr"/>
      <c r="L20" s="30" t="inlineStr"/>
      <c r="M20" s="30" t="inlineStr"/>
      <c r="N20" s="30" t="inlineStr">
        <is>
          <t>n/a</t>
        </is>
      </c>
      <c r="O20" s="30" t="inlineStr"/>
      <c r="P20" s="30" t="inlineStr"/>
      <c r="Q20" s="9" t="inlineStr"/>
      <c r="R20" s="9" t="inlineStr"/>
      <c r="S20" s="10" t="inlineStr"/>
    </row>
    <row r="21">
      <c r="A21" s="11" t="n">
        <v>3</v>
      </c>
      <c r="B21" s="9" t="inlineStr">
        <is>
          <t>WFY-BRD-01</t>
        </is>
      </c>
      <c r="C21" s="10" t="inlineStr">
        <is>
          <t>SDG_Woodify_Company_Handbook_L1-L5_V1.0.pdf</t>
        </is>
      </c>
      <c r="D21" s="10" t="inlineStr">
        <is>
          <t>SD Academy/03_Woodify/01_Company_Handbooks</t>
        </is>
      </c>
      <c r="E21" s="9" t="inlineStr">
        <is>
          <t>SDA-CRS-WFY-BRD-01</t>
        </is>
      </c>
      <c r="F21" s="10" t="inlineStr">
        <is>
          <t>Woodify | All Divisions | L1-L5</t>
        </is>
      </c>
      <c r="G21" s="11" t="inlineStr">
        <is>
          <t>No</t>
        </is>
      </c>
      <c r="H21" s="11" t="inlineStr">
        <is>
          <t>Yes</t>
        </is>
      </c>
      <c r="I21" s="12" t="inlineStr">
        <is>
          <t>REQUIRED</t>
        </is>
      </c>
      <c r="J21" s="30" t="inlineStr"/>
      <c r="K21" s="30" t="inlineStr"/>
      <c r="L21" s="30" t="inlineStr"/>
      <c r="M21" s="30" t="inlineStr"/>
      <c r="N21" s="30" t="inlineStr">
        <is>
          <t>n/a</t>
        </is>
      </c>
      <c r="O21" s="30" t="inlineStr"/>
      <c r="P21" s="30" t="inlineStr"/>
      <c r="Q21" s="9" t="inlineStr"/>
      <c r="R21" s="9" t="inlineStr"/>
      <c r="S21" s="10" t="inlineStr"/>
    </row>
    <row r="22">
      <c r="A22" s="16" t="n">
        <v>4</v>
      </c>
      <c r="B22" s="14" t="inlineStr">
        <is>
          <t>TSK-DPT-04</t>
        </is>
      </c>
      <c r="C22" s="15" t="inlineStr">
        <is>
          <t>SDG_Woodify_Taskon_Sales_Dealer_Channel_Handbook_L1-L5_V1.0.pdf</t>
        </is>
      </c>
      <c r="D22" s="15" t="inlineStr">
        <is>
          <t>SD Academy/03_Woodify/03_Department_Handbooks</t>
        </is>
      </c>
      <c r="E22" s="14" t="inlineStr">
        <is>
          <t>SDA-CRS-TSK-DPT-04</t>
        </is>
      </c>
      <c r="F22" s="15" t="inlineStr">
        <is>
          <t>Woodify | Taskon | L1-L5</t>
        </is>
      </c>
      <c r="G22" s="11" t="inlineStr">
        <is>
          <t>No</t>
        </is>
      </c>
      <c r="H22" s="11" t="inlineStr">
        <is>
          <t>Yes</t>
        </is>
      </c>
      <c r="I22" s="12" t="inlineStr">
        <is>
          <t>REQUIRED</t>
        </is>
      </c>
      <c r="J22" s="30" t="inlineStr"/>
      <c r="K22" s="30" t="inlineStr"/>
      <c r="L22" s="30" t="inlineStr"/>
      <c r="M22" s="30" t="inlineStr"/>
      <c r="N22" s="30" t="inlineStr">
        <is>
          <t>n/a</t>
        </is>
      </c>
      <c r="O22" s="30" t="inlineStr"/>
      <c r="P22" s="30" t="inlineStr"/>
      <c r="Q22" s="9" t="inlineStr"/>
      <c r="R22" s="9" t="inlineStr"/>
      <c r="S22" s="10" t="inlineStr"/>
    </row>
    <row r="23">
      <c r="A23" s="11" t="n">
        <v>5</v>
      </c>
      <c r="B23" s="9" t="inlineStr">
        <is>
          <t>WFH-DPT-01</t>
        </is>
      </c>
      <c r="C23" s="10" t="inlineStr">
        <is>
          <t>SDG_Woodify_WoodifyHomes_CRM_Handbook_L1-L5_V1.0.pdf</t>
        </is>
      </c>
      <c r="D23" s="10" t="inlineStr">
        <is>
          <t>SD Academy/03_Woodify/03_Department_Handbooks</t>
        </is>
      </c>
      <c r="E23" s="9" t="inlineStr">
        <is>
          <t>SDA-CRS-WFH-DPT-01</t>
        </is>
      </c>
      <c r="F23" s="10" t="inlineStr">
        <is>
          <t>Woodify | Woodify Homes | L1-L5</t>
        </is>
      </c>
      <c r="G23" s="11" t="inlineStr">
        <is>
          <t>No</t>
        </is>
      </c>
      <c r="H23" s="11" t="inlineStr">
        <is>
          <t>Yes</t>
        </is>
      </c>
      <c r="I23" s="11" t="inlineStr">
        <is>
          <t>n/a</t>
        </is>
      </c>
      <c r="J23" s="30" t="inlineStr"/>
      <c r="K23" s="30" t="inlineStr"/>
      <c r="L23" s="30" t="inlineStr"/>
      <c r="M23" s="30" t="inlineStr"/>
      <c r="N23" s="30" t="inlineStr">
        <is>
          <t>n/a</t>
        </is>
      </c>
      <c r="O23" s="30" t="inlineStr"/>
      <c r="P23" s="30" t="inlineStr"/>
      <c r="Q23" s="9" t="inlineStr"/>
      <c r="R23" s="9" t="inlineStr"/>
      <c r="S23" s="10" t="inlineStr"/>
    </row>
    <row r="24">
      <c r="A24" s="16" t="n">
        <v>6</v>
      </c>
      <c r="B24" s="14" t="inlineStr">
        <is>
          <t>WFH-DPT-02</t>
        </is>
      </c>
      <c r="C24" s="15" t="inlineStr">
        <is>
          <t>SDG_Woodify_WoodifyHomes_Business_Development_Handbook_L1-L5_V1.0.pdf</t>
        </is>
      </c>
      <c r="D24" s="15" t="inlineStr">
        <is>
          <t>SD Academy/03_Woodify/03_Department_Handbooks</t>
        </is>
      </c>
      <c r="E24" s="14" t="inlineStr">
        <is>
          <t>SDA-CRS-WFH-DPT-02</t>
        </is>
      </c>
      <c r="F24" s="15" t="inlineStr">
        <is>
          <t>Woodify | Woodify Homes | L1-L5</t>
        </is>
      </c>
      <c r="G24" s="11" t="inlineStr">
        <is>
          <t>No</t>
        </is>
      </c>
      <c r="H24" s="11" t="inlineStr">
        <is>
          <t>Yes</t>
        </is>
      </c>
      <c r="I24" s="11" t="inlineStr">
        <is>
          <t>n/a</t>
        </is>
      </c>
      <c r="J24" s="30" t="inlineStr"/>
      <c r="K24" s="30" t="inlineStr"/>
      <c r="L24" s="30" t="inlineStr"/>
      <c r="M24" s="30" t="inlineStr"/>
      <c r="N24" s="30" t="inlineStr">
        <is>
          <t>n/a</t>
        </is>
      </c>
      <c r="O24" s="30" t="inlineStr"/>
      <c r="P24" s="30" t="inlineStr"/>
      <c r="Q24" s="9" t="inlineStr"/>
      <c r="R24" s="9" t="inlineStr"/>
      <c r="S24" s="10" t="inlineStr"/>
    </row>
    <row r="25">
      <c r="A25" s="11" t="n">
        <v>7</v>
      </c>
      <c r="B25" s="9" t="inlineStr">
        <is>
          <t>WFH-DPT-03</t>
        </is>
      </c>
      <c r="C25" s="10" t="inlineStr">
        <is>
          <t>SDG_Woodify_WoodifyHomes_Interior_Design_Handbook_L1-L5_V1.0.pdf</t>
        </is>
      </c>
      <c r="D25" s="10" t="inlineStr">
        <is>
          <t>SD Academy/03_Woodify/03_Department_Handbooks</t>
        </is>
      </c>
      <c r="E25" s="9" t="inlineStr">
        <is>
          <t>SDA-CRS-WFH-DPT-03</t>
        </is>
      </c>
      <c r="F25" s="10" t="inlineStr">
        <is>
          <t>Woodify | Woodify Homes | L1-L5</t>
        </is>
      </c>
      <c r="G25" s="11" t="inlineStr">
        <is>
          <t>No</t>
        </is>
      </c>
      <c r="H25" s="11" t="inlineStr">
        <is>
          <t>Yes</t>
        </is>
      </c>
      <c r="I25" s="11" t="inlineStr">
        <is>
          <t>n/a</t>
        </is>
      </c>
      <c r="J25" s="30" t="inlineStr"/>
      <c r="K25" s="30" t="inlineStr"/>
      <c r="L25" s="30" t="inlineStr"/>
      <c r="M25" s="30" t="inlineStr"/>
      <c r="N25" s="30" t="inlineStr">
        <is>
          <t>n/a</t>
        </is>
      </c>
      <c r="O25" s="30" t="inlineStr"/>
      <c r="P25" s="30" t="inlineStr"/>
      <c r="Q25" s="9" t="inlineStr"/>
      <c r="R25" s="9" t="inlineStr"/>
      <c r="S25" s="10" t="inlineStr"/>
    </row>
    <row r="26">
      <c r="A26" s="16" t="n">
        <v>8</v>
      </c>
      <c r="B26" s="14" t="inlineStr">
        <is>
          <t>WFH-DPT-04</t>
        </is>
      </c>
      <c r="C26" s="15" t="inlineStr">
        <is>
          <t>SDG_Woodify_WoodifyHomes_Estimation_Quotation_Handbook_L2-L5_V1.0.pdf</t>
        </is>
      </c>
      <c r="D26" s="15" t="inlineStr">
        <is>
          <t>SD Academy/03_Woodify/03_Department_Handbooks</t>
        </is>
      </c>
      <c r="E26" s="14" t="inlineStr">
        <is>
          <t>SDA-CRS-WFH-DPT-04</t>
        </is>
      </c>
      <c r="F26" s="15" t="inlineStr">
        <is>
          <t>Woodify | Woodify Homes | L2-L5</t>
        </is>
      </c>
      <c r="G26" s="11" t="inlineStr">
        <is>
          <t>No</t>
        </is>
      </c>
      <c r="H26" s="11" t="inlineStr">
        <is>
          <t>Yes</t>
        </is>
      </c>
      <c r="I26" s="11" t="inlineStr">
        <is>
          <t>n/a</t>
        </is>
      </c>
      <c r="J26" s="30" t="inlineStr"/>
      <c r="K26" s="30" t="inlineStr"/>
      <c r="L26" s="30" t="inlineStr"/>
      <c r="M26" s="30" t="inlineStr"/>
      <c r="N26" s="30" t="inlineStr">
        <is>
          <t>n/a</t>
        </is>
      </c>
      <c r="O26" s="30" t="inlineStr"/>
      <c r="P26" s="30" t="inlineStr"/>
      <c r="Q26" s="9" t="inlineStr"/>
      <c r="R26" s="9" t="inlineStr"/>
      <c r="S26" s="10" t="inlineStr"/>
    </row>
    <row r="27">
      <c r="A27" s="11" t="n">
        <v>9</v>
      </c>
      <c r="B27" s="9" t="inlineStr">
        <is>
          <t>WFY-DPT-01</t>
        </is>
      </c>
      <c r="C27" s="10" t="inlineStr">
        <is>
          <t>SDG_Woodify_CRM_Handbook_L1-L5_V1.0.pdf</t>
        </is>
      </c>
      <c r="D27" s="10" t="inlineStr">
        <is>
          <t>SD Academy/03_Woodify/03_Department_Handbooks</t>
        </is>
      </c>
      <c r="E27" s="9" t="inlineStr">
        <is>
          <t>SDA-CRS-WFY-DPT-01</t>
        </is>
      </c>
      <c r="F27" s="10" t="inlineStr">
        <is>
          <t>Woodify | Woodify Office Furniture | L1-L5</t>
        </is>
      </c>
      <c r="G27" s="11" t="inlineStr">
        <is>
          <t>No</t>
        </is>
      </c>
      <c r="H27" s="11" t="inlineStr">
        <is>
          <t>Yes</t>
        </is>
      </c>
      <c r="I27" s="11" t="inlineStr">
        <is>
          <t>n/a</t>
        </is>
      </c>
      <c r="J27" s="30" t="inlineStr"/>
      <c r="K27" s="30" t="inlineStr"/>
      <c r="L27" s="30" t="inlineStr"/>
      <c r="M27" s="30" t="inlineStr"/>
      <c r="N27" s="30" t="inlineStr">
        <is>
          <t>n/a</t>
        </is>
      </c>
      <c r="O27" s="30" t="inlineStr"/>
      <c r="P27" s="30" t="inlineStr"/>
      <c r="Q27" s="9" t="inlineStr"/>
      <c r="R27" s="9" t="inlineStr"/>
      <c r="S27" s="10" t="inlineStr"/>
    </row>
    <row r="28">
      <c r="A28" s="16" t="n">
        <v>10</v>
      </c>
      <c r="B28" s="14" t="inlineStr">
        <is>
          <t>WFY-DPT-02</t>
        </is>
      </c>
      <c r="C28" s="15" t="inlineStr">
        <is>
          <t>SDG_Woodify_Business_Development_Handbook_L1-L5_V1.0.pdf</t>
        </is>
      </c>
      <c r="D28" s="15" t="inlineStr">
        <is>
          <t>SD Academy/03_Woodify/03_Department_Handbooks</t>
        </is>
      </c>
      <c r="E28" s="14" t="inlineStr">
        <is>
          <t>SDA-CRS-WFY-DPT-02</t>
        </is>
      </c>
      <c r="F28" s="15" t="inlineStr">
        <is>
          <t>Woodify | Woodify Office Furniture | L1-L5</t>
        </is>
      </c>
      <c r="G28" s="11" t="inlineStr">
        <is>
          <t>No</t>
        </is>
      </c>
      <c r="H28" s="11" t="inlineStr">
        <is>
          <t>Yes</t>
        </is>
      </c>
      <c r="I28" s="11" t="inlineStr">
        <is>
          <t>n/a</t>
        </is>
      </c>
      <c r="J28" s="30" t="inlineStr"/>
      <c r="K28" s="30" t="inlineStr"/>
      <c r="L28" s="30" t="inlineStr"/>
      <c r="M28" s="30" t="inlineStr"/>
      <c r="N28" s="30" t="inlineStr">
        <is>
          <t>n/a</t>
        </is>
      </c>
      <c r="O28" s="30" t="inlineStr"/>
      <c r="P28" s="30" t="inlineStr"/>
      <c r="Q28" s="9" t="inlineStr"/>
      <c r="R28" s="9" t="inlineStr"/>
      <c r="S28" s="10" t="inlineStr"/>
    </row>
    <row r="29">
      <c r="A29" s="11" t="n">
        <v>11</v>
      </c>
      <c r="B29" s="9" t="inlineStr">
        <is>
          <t>WFY-DPT-03</t>
        </is>
      </c>
      <c r="C29" s="10" t="inlineStr">
        <is>
          <t>SDG_Woodify_Design_Engineering_Handbook_L1-L5_V1.0.pdf</t>
        </is>
      </c>
      <c r="D29" s="10" t="inlineStr">
        <is>
          <t>SD Academy/03_Woodify/03_Department_Handbooks</t>
        </is>
      </c>
      <c r="E29" s="9" t="inlineStr">
        <is>
          <t>SDA-CRS-WFY-DPT-03</t>
        </is>
      </c>
      <c r="F29" s="10" t="inlineStr">
        <is>
          <t>Woodify | Woodify Office Furniture | L1-L5</t>
        </is>
      </c>
      <c r="G29" s="11" t="inlineStr">
        <is>
          <t>No</t>
        </is>
      </c>
      <c r="H29" s="11" t="inlineStr">
        <is>
          <t>Yes</t>
        </is>
      </c>
      <c r="I29" s="11" t="inlineStr">
        <is>
          <t>n/a</t>
        </is>
      </c>
      <c r="J29" s="30" t="inlineStr"/>
      <c r="K29" s="30" t="inlineStr"/>
      <c r="L29" s="30" t="inlineStr"/>
      <c r="M29" s="30" t="inlineStr"/>
      <c r="N29" s="30" t="inlineStr">
        <is>
          <t>n/a</t>
        </is>
      </c>
      <c r="O29" s="30" t="inlineStr"/>
      <c r="P29" s="30" t="inlineStr"/>
      <c r="Q29" s="9" t="inlineStr"/>
      <c r="R29" s="9" t="inlineStr"/>
      <c r="S29" s="10" t="inlineStr"/>
    </row>
    <row r="30">
      <c r="A30" s="16" t="n">
        <v>12</v>
      </c>
      <c r="B30" s="14" t="inlineStr">
        <is>
          <t>WFY-SOP-01</t>
        </is>
      </c>
      <c r="C30" s="15" t="inlineStr">
        <is>
          <t>SDG_Woodify_Product_Catalogue_Specification_Handbook_L2-L5_V1.0.pdf</t>
        </is>
      </c>
      <c r="D30" s="15" t="inlineStr">
        <is>
          <t>SD Academy/03_Woodify/04_SOP_Handbooks</t>
        </is>
      </c>
      <c r="E30" s="14" t="inlineStr">
        <is>
          <t>SDA-CRS-WFY-SOP-01</t>
        </is>
      </c>
      <c r="F30" s="15" t="inlineStr">
        <is>
          <t>Woodify | Woodify Office Furniture | L2-L5</t>
        </is>
      </c>
      <c r="G30" s="11" t="inlineStr">
        <is>
          <t>No</t>
        </is>
      </c>
      <c r="H30" s="11" t="inlineStr">
        <is>
          <t>No</t>
        </is>
      </c>
      <c r="I30" s="11" t="inlineStr">
        <is>
          <t>n/a</t>
        </is>
      </c>
      <c r="J30" s="30" t="inlineStr"/>
      <c r="K30" s="30" t="inlineStr"/>
      <c r="L30" s="30" t="inlineStr"/>
      <c r="M30" s="30" t="inlineStr"/>
      <c r="N30" s="30" t="inlineStr">
        <is>
          <t>n/a</t>
        </is>
      </c>
      <c r="O30" s="30" t="inlineStr"/>
      <c r="P30" s="30" t="inlineStr"/>
      <c r="Q30" s="9" t="inlineStr"/>
      <c r="R30" s="9" t="inlineStr"/>
      <c r="S30" s="10" t="inlineStr"/>
    </row>
    <row r="31">
      <c r="A31" s="11" t="n">
        <v>13</v>
      </c>
      <c r="B31" s="9" t="inlineStr">
        <is>
          <t>WFY-SOP-02</t>
        </is>
      </c>
      <c r="C31" s="10" t="inlineStr">
        <is>
          <t>SDG_Woodify_Dealer_Channel_Sales_Handbook_L2-L5_V1.0.pdf</t>
        </is>
      </c>
      <c r="D31" s="10" t="inlineStr">
        <is>
          <t>SD Academy/03_Woodify/04_SOP_Handbooks</t>
        </is>
      </c>
      <c r="E31" s="9" t="inlineStr">
        <is>
          <t>SDA-CRS-WFY-SOP-02</t>
        </is>
      </c>
      <c r="F31" s="10" t="inlineStr">
        <is>
          <t>Woodify | Woodify Office Furniture | L2-L5</t>
        </is>
      </c>
      <c r="G31" s="11" t="inlineStr">
        <is>
          <t>No</t>
        </is>
      </c>
      <c r="H31" s="11" t="inlineStr">
        <is>
          <t>No</t>
        </is>
      </c>
      <c r="I31" s="12" t="inlineStr">
        <is>
          <t>REQUIRED</t>
        </is>
      </c>
      <c r="J31" s="30" t="inlineStr"/>
      <c r="K31" s="30" t="inlineStr"/>
      <c r="L31" s="30" t="inlineStr"/>
      <c r="M31" s="30" t="inlineStr"/>
      <c r="N31" s="30" t="inlineStr">
        <is>
          <t>n/a</t>
        </is>
      </c>
      <c r="O31" s="30" t="inlineStr"/>
      <c r="P31" s="30" t="inlineStr"/>
      <c r="Q31" s="9" t="inlineStr"/>
      <c r="R31" s="9" t="inlineStr"/>
      <c r="S31" s="10" t="inlineStr"/>
    </row>
    <row r="32">
      <c r="A32" s="16" t="n">
        <v>14</v>
      </c>
      <c r="B32" s="14" t="inlineStr">
        <is>
          <t>WFY-SOP-03</t>
        </is>
      </c>
      <c r="C32" s="15" t="inlineStr">
        <is>
          <t>SDG_Woodify_Product_Photography_Catalogue_Management_Handbook_L2-L5_V1.0.pdf</t>
        </is>
      </c>
      <c r="D32" s="15" t="inlineStr">
        <is>
          <t>SD Academy/03_Woodify/04_SOP_Handbooks</t>
        </is>
      </c>
      <c r="E32" s="14" t="inlineStr">
        <is>
          <t>SDA-CRS-WFY-SOP-03</t>
        </is>
      </c>
      <c r="F32" s="15" t="inlineStr">
        <is>
          <t>Woodify | Woodify Office Furniture | L2-L5</t>
        </is>
      </c>
      <c r="G32" s="11" t="inlineStr">
        <is>
          <t>No</t>
        </is>
      </c>
      <c r="H32" s="11" t="inlineStr">
        <is>
          <t>No</t>
        </is>
      </c>
      <c r="I32" s="11" t="inlineStr">
        <is>
          <t>n/a</t>
        </is>
      </c>
      <c r="J32" s="30" t="inlineStr"/>
      <c r="K32" s="30" t="inlineStr"/>
      <c r="L32" s="30" t="inlineStr"/>
      <c r="M32" s="30" t="inlineStr"/>
      <c r="N32" s="30" t="inlineStr">
        <is>
          <t>n/a</t>
        </is>
      </c>
      <c r="O32" s="30" t="inlineStr"/>
      <c r="P32" s="30" t="inlineStr"/>
      <c r="Q32" s="9" t="inlineStr"/>
      <c r="R32" s="9" t="inlineStr"/>
      <c r="S32" s="10" t="inlineStr"/>
    </row>
    <row r="33">
      <c r="A33" s="11" t="n">
        <v>15</v>
      </c>
      <c r="B33" s="9" t="inlineStr">
        <is>
          <t>TSK-DPT-01</t>
        </is>
      </c>
      <c r="C33" s="10" t="inlineStr">
        <is>
          <t>SDG_Woodify_Taskon_Product_Development_Handbook_L1-L5_V1.0.pdf</t>
        </is>
      </c>
      <c r="D33" s="10" t="inlineStr">
        <is>
          <t>SD Academy/03_Woodify/03_Department_Handbooks</t>
        </is>
      </c>
      <c r="E33" s="9" t="inlineStr">
        <is>
          <t>SDA-CRS-TSK-DPT-01</t>
        </is>
      </c>
      <c r="F33" s="10" t="inlineStr">
        <is>
          <t>Woodify | Taskon | L1-L5</t>
        </is>
      </c>
      <c r="G33" s="11" t="inlineStr">
        <is>
          <t>No</t>
        </is>
      </c>
      <c r="H33" s="11" t="inlineStr">
        <is>
          <t>Yes</t>
        </is>
      </c>
      <c r="I33" s="11" t="inlineStr">
        <is>
          <t>n/a</t>
        </is>
      </c>
      <c r="J33" s="30" t="inlineStr"/>
      <c r="K33" s="30" t="inlineStr"/>
      <c r="L33" s="30" t="inlineStr"/>
      <c r="M33" s="30" t="inlineStr"/>
      <c r="N33" s="30" t="inlineStr">
        <is>
          <t>n/a</t>
        </is>
      </c>
      <c r="O33" s="30" t="inlineStr"/>
      <c r="P33" s="30" t="inlineStr"/>
      <c r="Q33" s="9" t="inlineStr"/>
      <c r="R33" s="9" t="inlineStr"/>
      <c r="S33" s="10" t="inlineStr"/>
    </row>
    <row r="34">
      <c r="A34" s="16" t="n">
        <v>16</v>
      </c>
      <c r="B34" s="14" t="inlineStr">
        <is>
          <t>TSK-DPT-02</t>
        </is>
      </c>
      <c r="C34" s="15" t="inlineStr">
        <is>
          <t>SDG_Woodify_Taskon_Seating_Engineering_Handbook_L1-L5_V1.0.pdf</t>
        </is>
      </c>
      <c r="D34" s="15" t="inlineStr">
        <is>
          <t>SD Academy/03_Woodify/03_Department_Handbooks</t>
        </is>
      </c>
      <c r="E34" s="14" t="inlineStr">
        <is>
          <t>SDA-CRS-TSK-DPT-02</t>
        </is>
      </c>
      <c r="F34" s="15" t="inlineStr">
        <is>
          <t>Woodify | Taskon | L1-L5</t>
        </is>
      </c>
      <c r="G34" s="11" t="inlineStr">
        <is>
          <t>No</t>
        </is>
      </c>
      <c r="H34" s="11" t="inlineStr">
        <is>
          <t>Yes</t>
        </is>
      </c>
      <c r="I34" s="11" t="inlineStr">
        <is>
          <t>n/a</t>
        </is>
      </c>
      <c r="J34" s="30" t="inlineStr"/>
      <c r="K34" s="30" t="inlineStr"/>
      <c r="L34" s="30" t="inlineStr"/>
      <c r="M34" s="30" t="inlineStr"/>
      <c r="N34" s="30" t="inlineStr">
        <is>
          <t>n/a</t>
        </is>
      </c>
      <c r="O34" s="30" t="inlineStr"/>
      <c r="P34" s="30" t="inlineStr"/>
      <c r="Q34" s="9" t="inlineStr"/>
      <c r="R34" s="9" t="inlineStr"/>
      <c r="S34" s="10" t="inlineStr"/>
    </row>
    <row r="35">
      <c r="A35" s="11" t="n">
        <v>17</v>
      </c>
      <c r="B35" s="9" t="inlineStr">
        <is>
          <t>TSK-DPT-03</t>
        </is>
      </c>
      <c r="C35" s="10" t="inlineStr">
        <is>
          <t>SDG_Woodify_Taskon_Testing_Certification_Handbook_L1-L5_V1.0.pdf</t>
        </is>
      </c>
      <c r="D35" s="10" t="inlineStr">
        <is>
          <t>SD Academy/03_Woodify/03_Department_Handbooks</t>
        </is>
      </c>
      <c r="E35" s="9" t="inlineStr">
        <is>
          <t>SDA-CRS-TSK-DPT-03</t>
        </is>
      </c>
      <c r="F35" s="10" t="inlineStr">
        <is>
          <t>Woodify | Taskon | L1-L5</t>
        </is>
      </c>
      <c r="G35" s="11" t="inlineStr">
        <is>
          <t>No</t>
        </is>
      </c>
      <c r="H35" s="11" t="inlineStr">
        <is>
          <t>Yes</t>
        </is>
      </c>
      <c r="I35" s="11" t="inlineStr">
        <is>
          <t>n/a</t>
        </is>
      </c>
      <c r="J35" s="30" t="inlineStr"/>
      <c r="K35" s="30" t="inlineStr"/>
      <c r="L35" s="30" t="inlineStr"/>
      <c r="M35" s="30" t="inlineStr"/>
      <c r="N35" s="30" t="inlineStr">
        <is>
          <t>n/a</t>
        </is>
      </c>
      <c r="O35" s="30" t="inlineStr"/>
      <c r="P35" s="30" t="inlineStr"/>
      <c r="Q35" s="9" t="inlineStr"/>
      <c r="R35" s="9" t="inlineStr"/>
      <c r="S35" s="10" t="inlineStr"/>
    </row>
    <row r="36">
      <c r="A36" s="16" t="n">
        <v>18</v>
      </c>
      <c r="B36" s="14" t="inlineStr">
        <is>
          <t>WFH-DPT-05</t>
        </is>
      </c>
      <c r="C36" s="15" t="inlineStr">
        <is>
          <t>SDG_Woodify_WoodifyHomes_Site_Survey_Measurement_Handbook_L1-L5_V1.0.pdf</t>
        </is>
      </c>
      <c r="D36" s="15" t="inlineStr">
        <is>
          <t>SD Academy/03_Woodify/03_Department_Handbooks</t>
        </is>
      </c>
      <c r="E36" s="14" t="inlineStr">
        <is>
          <t>SDA-CRS-WFH-DPT-05</t>
        </is>
      </c>
      <c r="F36" s="15" t="inlineStr">
        <is>
          <t>Woodify | Woodify Homes | L1-L5</t>
        </is>
      </c>
      <c r="G36" s="11" t="inlineStr">
        <is>
          <t>No</t>
        </is>
      </c>
      <c r="H36" s="11" t="inlineStr">
        <is>
          <t>Yes</t>
        </is>
      </c>
      <c r="I36" s="11" t="inlineStr">
        <is>
          <t>n/a</t>
        </is>
      </c>
      <c r="J36" s="30" t="inlineStr"/>
      <c r="K36" s="30" t="inlineStr"/>
      <c r="L36" s="30" t="inlineStr"/>
      <c r="M36" s="30" t="inlineStr"/>
      <c r="N36" s="30" t="inlineStr">
        <is>
          <t>n/a</t>
        </is>
      </c>
      <c r="O36" s="30" t="inlineStr"/>
      <c r="P36" s="30" t="inlineStr"/>
      <c r="Q36" s="9" t="inlineStr"/>
      <c r="R36" s="9" t="inlineStr"/>
      <c r="S36" s="10" t="inlineStr"/>
    </row>
    <row r="37">
      <c r="A37" s="11" t="n">
        <v>19</v>
      </c>
      <c r="B37" s="9" t="inlineStr">
        <is>
          <t>WFH-DPT-06</t>
        </is>
      </c>
      <c r="C37" s="10" t="inlineStr">
        <is>
          <t>SDG_Woodify_WoodifyHomes_Project_Execution_Handbook_L1-L5_V1.0.pdf</t>
        </is>
      </c>
      <c r="D37" s="10" t="inlineStr">
        <is>
          <t>SD Academy/03_Woodify/03_Department_Handbooks</t>
        </is>
      </c>
      <c r="E37" s="9" t="inlineStr">
        <is>
          <t>SDA-CRS-WFH-DPT-06</t>
        </is>
      </c>
      <c r="F37" s="10" t="inlineStr">
        <is>
          <t>Woodify | Woodify Homes | L1-L5</t>
        </is>
      </c>
      <c r="G37" s="11" t="inlineStr">
        <is>
          <t>No</t>
        </is>
      </c>
      <c r="H37" s="11" t="inlineStr">
        <is>
          <t>Yes</t>
        </is>
      </c>
      <c r="I37" s="11" t="inlineStr">
        <is>
          <t>n/a</t>
        </is>
      </c>
      <c r="J37" s="30" t="inlineStr"/>
      <c r="K37" s="30" t="inlineStr"/>
      <c r="L37" s="30" t="inlineStr"/>
      <c r="M37" s="30" t="inlineStr"/>
      <c r="N37" s="30" t="inlineStr">
        <is>
          <t>n/a</t>
        </is>
      </c>
      <c r="O37" s="30" t="inlineStr"/>
      <c r="P37" s="30" t="inlineStr"/>
      <c r="Q37" s="9" t="inlineStr"/>
      <c r="R37" s="9" t="inlineStr"/>
      <c r="S37" s="10" t="inlineStr"/>
    </row>
    <row r="38">
      <c r="A38" s="16" t="n">
        <v>20</v>
      </c>
      <c r="B38" s="14" t="inlineStr">
        <is>
          <t>WFH-DPT-07</t>
        </is>
      </c>
      <c r="C38" s="15" t="inlineStr">
        <is>
          <t>SDG_Woodify_WoodifyHomes_Installation_Handbook_L1-L5_V1.0.pdf</t>
        </is>
      </c>
      <c r="D38" s="15" t="inlineStr">
        <is>
          <t>SD Academy/03_Woodify/03_Department_Handbooks</t>
        </is>
      </c>
      <c r="E38" s="14" t="inlineStr">
        <is>
          <t>SDA-CRS-WFH-DPT-07</t>
        </is>
      </c>
      <c r="F38" s="15" t="inlineStr">
        <is>
          <t>Woodify | Woodify Homes | L1-L5</t>
        </is>
      </c>
      <c r="G38" s="11" t="inlineStr">
        <is>
          <t>No</t>
        </is>
      </c>
      <c r="H38" s="11" t="inlineStr">
        <is>
          <t>Yes</t>
        </is>
      </c>
      <c r="I38" s="11" t="inlineStr">
        <is>
          <t>n/a</t>
        </is>
      </c>
      <c r="J38" s="30" t="inlineStr"/>
      <c r="K38" s="30" t="inlineStr"/>
      <c r="L38" s="30" t="inlineStr"/>
      <c r="M38" s="30" t="inlineStr"/>
      <c r="N38" s="30" t="inlineStr">
        <is>
          <t>n/a</t>
        </is>
      </c>
      <c r="O38" s="30" t="inlineStr"/>
      <c r="P38" s="30" t="inlineStr"/>
      <c r="Q38" s="9" t="inlineStr"/>
      <c r="R38" s="9" t="inlineStr"/>
      <c r="S38" s="10" t="inlineStr"/>
    </row>
    <row r="39">
      <c r="A39" s="11" t="n">
        <v>21</v>
      </c>
      <c r="B39" s="9" t="inlineStr">
        <is>
          <t>WFH-DPT-08</t>
        </is>
      </c>
      <c r="C39" s="10" t="inlineStr">
        <is>
          <t>SDG_Woodify_WoodifyHomes_Quality_Control_Handbook_L1-L5_V1.0.pdf</t>
        </is>
      </c>
      <c r="D39" s="10" t="inlineStr">
        <is>
          <t>SD Academy/03_Woodify/03_Department_Handbooks</t>
        </is>
      </c>
      <c r="E39" s="9" t="inlineStr">
        <is>
          <t>SDA-CRS-WFH-DPT-08</t>
        </is>
      </c>
      <c r="F39" s="10" t="inlineStr">
        <is>
          <t>Woodify | Woodify Homes | L1-L5</t>
        </is>
      </c>
      <c r="G39" s="11" t="inlineStr">
        <is>
          <t>No</t>
        </is>
      </c>
      <c r="H39" s="11" t="inlineStr">
        <is>
          <t>Yes</t>
        </is>
      </c>
      <c r="I39" s="11" t="inlineStr">
        <is>
          <t>n/a</t>
        </is>
      </c>
      <c r="J39" s="30" t="inlineStr"/>
      <c r="K39" s="30" t="inlineStr"/>
      <c r="L39" s="30" t="inlineStr"/>
      <c r="M39" s="30" t="inlineStr"/>
      <c r="N39" s="30" t="inlineStr">
        <is>
          <t>n/a</t>
        </is>
      </c>
      <c r="O39" s="30" t="inlineStr"/>
      <c r="P39" s="30" t="inlineStr"/>
      <c r="Q39" s="9" t="inlineStr"/>
      <c r="R39" s="9" t="inlineStr"/>
      <c r="S39" s="10" t="inlineStr"/>
    </row>
    <row r="40">
      <c r="A40" s="16" t="n">
        <v>22</v>
      </c>
      <c r="B40" s="14" t="inlineStr">
        <is>
          <t>WFH-DPT-09</t>
        </is>
      </c>
      <c r="C40" s="15" t="inlineStr">
        <is>
          <t>SDG_Woodify_WoodifyHomes_Customer_Experience_Warranty_Handbook_L1-L5_V1.0.pdf</t>
        </is>
      </c>
      <c r="D40" s="15" t="inlineStr">
        <is>
          <t>SD Academy/03_Woodify/03_Department_Handbooks</t>
        </is>
      </c>
      <c r="E40" s="14" t="inlineStr">
        <is>
          <t>SDA-CRS-WFH-DPT-09</t>
        </is>
      </c>
      <c r="F40" s="15" t="inlineStr">
        <is>
          <t>Woodify | Woodify Homes | L1-L5</t>
        </is>
      </c>
      <c r="G40" s="11" t="inlineStr">
        <is>
          <t>No</t>
        </is>
      </c>
      <c r="H40" s="11" t="inlineStr">
        <is>
          <t>Yes</t>
        </is>
      </c>
      <c r="I40" s="12" t="inlineStr">
        <is>
          <t>REQUIRED</t>
        </is>
      </c>
      <c r="J40" s="30" t="inlineStr"/>
      <c r="K40" s="30" t="inlineStr"/>
      <c r="L40" s="30" t="inlineStr"/>
      <c r="M40" s="30" t="inlineStr"/>
      <c r="N40" s="30" t="inlineStr">
        <is>
          <t>n/a</t>
        </is>
      </c>
      <c r="O40" s="30" t="inlineStr"/>
      <c r="P40" s="30" t="inlineStr"/>
      <c r="Q40" s="9" t="inlineStr"/>
      <c r="R40" s="9" t="inlineStr"/>
      <c r="S40" s="10" t="inlineStr"/>
    </row>
    <row r="41">
      <c r="A41" s="11" t="n">
        <v>23</v>
      </c>
      <c r="B41" s="9" t="inlineStr">
        <is>
          <t>WFH-DPT-10</t>
        </is>
      </c>
      <c r="C41" s="10" t="inlineStr">
        <is>
          <t>SDG_Woodify_WoodifyHomes_Procurement_Handbook_L1-L5_V1.0.pdf</t>
        </is>
      </c>
      <c r="D41" s="10" t="inlineStr">
        <is>
          <t>SD Academy/03_Woodify/03_Department_Handbooks</t>
        </is>
      </c>
      <c r="E41" s="9" t="inlineStr">
        <is>
          <t>SDA-CRS-WFH-DPT-10</t>
        </is>
      </c>
      <c r="F41" s="10" t="inlineStr">
        <is>
          <t>Woodify | Woodify Homes | L1-L5</t>
        </is>
      </c>
      <c r="G41" s="11" t="inlineStr">
        <is>
          <t>No</t>
        </is>
      </c>
      <c r="H41" s="11" t="inlineStr">
        <is>
          <t>Yes</t>
        </is>
      </c>
      <c r="I41" s="11" t="inlineStr">
        <is>
          <t>n/a</t>
        </is>
      </c>
      <c r="J41" s="30" t="inlineStr"/>
      <c r="K41" s="30" t="inlineStr"/>
      <c r="L41" s="30" t="inlineStr"/>
      <c r="M41" s="30" t="inlineStr"/>
      <c r="N41" s="30" t="inlineStr">
        <is>
          <t>n/a</t>
        </is>
      </c>
      <c r="O41" s="30" t="inlineStr"/>
      <c r="P41" s="30" t="inlineStr"/>
      <c r="Q41" s="9" t="inlineStr"/>
      <c r="R41" s="9" t="inlineStr"/>
      <c r="S41" s="10" t="inlineStr"/>
    </row>
    <row r="42">
      <c r="A42" s="16" t="n">
        <v>24</v>
      </c>
      <c r="B42" s="14" t="inlineStr">
        <is>
          <t>WFH-SOP-01</t>
        </is>
      </c>
      <c r="C42" s="15" t="inlineStr">
        <is>
          <t>SDG_Woodify_WoodifyHomes_Dispatch_Logistics_Delivery_Handbook_L2-L5_V1.0.pdf</t>
        </is>
      </c>
      <c r="D42" s="15" t="inlineStr">
        <is>
          <t>SD Academy/03_Woodify/04_SOP_Handbooks</t>
        </is>
      </c>
      <c r="E42" s="14" t="inlineStr">
        <is>
          <t>SDA-CRS-WFH-SOP-01</t>
        </is>
      </c>
      <c r="F42" s="15" t="inlineStr">
        <is>
          <t>Woodify | Woodify Homes | L2-L5</t>
        </is>
      </c>
      <c r="G42" s="11" t="inlineStr">
        <is>
          <t>No</t>
        </is>
      </c>
      <c r="H42" s="11" t="inlineStr">
        <is>
          <t>No</t>
        </is>
      </c>
      <c r="I42" s="11" t="inlineStr">
        <is>
          <t>n/a</t>
        </is>
      </c>
      <c r="J42" s="30" t="inlineStr"/>
      <c r="K42" s="30" t="inlineStr"/>
      <c r="L42" s="30" t="inlineStr"/>
      <c r="M42" s="30" t="inlineStr"/>
      <c r="N42" s="30" t="inlineStr">
        <is>
          <t>n/a</t>
        </is>
      </c>
      <c r="O42" s="30" t="inlineStr"/>
      <c r="P42" s="30" t="inlineStr"/>
      <c r="Q42" s="9" t="inlineStr"/>
      <c r="R42" s="9" t="inlineStr"/>
      <c r="S42" s="10" t="inlineStr"/>
    </row>
    <row r="43">
      <c r="A43" s="11" t="n">
        <v>25</v>
      </c>
      <c r="B43" s="9" t="inlineStr">
        <is>
          <t>WFY-DPT-04</t>
        </is>
      </c>
      <c r="C43" s="10" t="inlineStr">
        <is>
          <t>SDG_Woodify_R_D_Handbook_L2-L5_V1.0.pdf</t>
        </is>
      </c>
      <c r="D43" s="10" t="inlineStr">
        <is>
          <t>SD Academy/03_Woodify/03_Department_Handbooks</t>
        </is>
      </c>
      <c r="E43" s="9" t="inlineStr">
        <is>
          <t>SDA-CRS-WFY-DPT-04</t>
        </is>
      </c>
      <c r="F43" s="10" t="inlineStr">
        <is>
          <t>Woodify | Woodify Office Furniture | L2-L5</t>
        </is>
      </c>
      <c r="G43" s="11" t="inlineStr">
        <is>
          <t>No</t>
        </is>
      </c>
      <c r="H43" s="11" t="inlineStr">
        <is>
          <t>Yes</t>
        </is>
      </c>
      <c r="I43" s="11" t="inlineStr">
        <is>
          <t>n/a</t>
        </is>
      </c>
      <c r="J43" s="30" t="inlineStr"/>
      <c r="K43" s="30" t="inlineStr"/>
      <c r="L43" s="30" t="inlineStr"/>
      <c r="M43" s="30" t="inlineStr"/>
      <c r="N43" s="30" t="inlineStr">
        <is>
          <t>n/a</t>
        </is>
      </c>
      <c r="O43" s="30" t="inlineStr"/>
      <c r="P43" s="30" t="inlineStr"/>
      <c r="Q43" s="9" t="inlineStr"/>
      <c r="R43" s="9" t="inlineStr"/>
      <c r="S43" s="10" t="inlineStr"/>
    </row>
    <row r="44">
      <c r="A44" s="16" t="n">
        <v>26</v>
      </c>
      <c r="B44" s="14" t="inlineStr">
        <is>
          <t>WFY-DPT-05</t>
        </is>
      </c>
      <c r="C44" s="15" t="inlineStr">
        <is>
          <t>SDG_Woodify_Production_Planning_Handbook_L1-L5_V1.0.pdf</t>
        </is>
      </c>
      <c r="D44" s="15" t="inlineStr">
        <is>
          <t>SD Academy/03_Woodify/03_Department_Handbooks</t>
        </is>
      </c>
      <c r="E44" s="14" t="inlineStr">
        <is>
          <t>SDA-CRS-WFY-DPT-05</t>
        </is>
      </c>
      <c r="F44" s="15" t="inlineStr">
        <is>
          <t>Woodify | Factory / Manufacturing Operations | L1-L5</t>
        </is>
      </c>
      <c r="G44" s="11" t="inlineStr">
        <is>
          <t>No</t>
        </is>
      </c>
      <c r="H44" s="11" t="inlineStr">
        <is>
          <t>Yes</t>
        </is>
      </c>
      <c r="I44" s="11" t="inlineStr">
        <is>
          <t>n/a</t>
        </is>
      </c>
      <c r="J44" s="30" t="inlineStr"/>
      <c r="K44" s="30" t="inlineStr"/>
      <c r="L44" s="30" t="inlineStr"/>
      <c r="M44" s="30" t="inlineStr"/>
      <c r="N44" s="30" t="inlineStr">
        <is>
          <t>n/a</t>
        </is>
      </c>
      <c r="O44" s="30" t="inlineStr"/>
      <c r="P44" s="30" t="inlineStr"/>
      <c r="Q44" s="9" t="inlineStr"/>
      <c r="R44" s="9" t="inlineStr"/>
      <c r="S44" s="10" t="inlineStr"/>
    </row>
    <row r="45">
      <c r="A45" s="11" t="n">
        <v>27</v>
      </c>
      <c r="B45" s="9" t="inlineStr">
        <is>
          <t>WFY-DPT-06</t>
        </is>
      </c>
      <c r="C45" s="10" t="inlineStr">
        <is>
          <t>SDG_Woodify_Manufacturing_Handbook_L1-L5_V1.0.pdf</t>
        </is>
      </c>
      <c r="D45" s="10" t="inlineStr">
        <is>
          <t>SD Academy/03_Woodify/03_Department_Handbooks</t>
        </is>
      </c>
      <c r="E45" s="9" t="inlineStr">
        <is>
          <t>SDA-CRS-WFY-DPT-06</t>
        </is>
      </c>
      <c r="F45" s="10" t="inlineStr">
        <is>
          <t>Woodify | Factory / Manufacturing Operations | L1-L5</t>
        </is>
      </c>
      <c r="G45" s="11" t="inlineStr">
        <is>
          <t>No</t>
        </is>
      </c>
      <c r="H45" s="11" t="inlineStr">
        <is>
          <t>Yes</t>
        </is>
      </c>
      <c r="I45" s="11" t="inlineStr">
        <is>
          <t>n/a</t>
        </is>
      </c>
      <c r="J45" s="30" t="inlineStr"/>
      <c r="K45" s="30" t="inlineStr"/>
      <c r="L45" s="30" t="inlineStr"/>
      <c r="M45" s="30" t="inlineStr"/>
      <c r="N45" s="30" t="inlineStr">
        <is>
          <t>n/a</t>
        </is>
      </c>
      <c r="O45" s="30" t="inlineStr"/>
      <c r="P45" s="30" t="inlineStr"/>
      <c r="Q45" s="9" t="inlineStr"/>
      <c r="R45" s="9" t="inlineStr"/>
      <c r="S45" s="10" t="inlineStr"/>
    </row>
    <row r="46">
      <c r="A46" s="16" t="n">
        <v>28</v>
      </c>
      <c r="B46" s="14" t="inlineStr">
        <is>
          <t>WFY-DPT-07</t>
        </is>
      </c>
      <c r="C46" s="15" t="inlineStr">
        <is>
          <t>SDG_Woodify_CNC_Operations_Handbook_L1-L5_V1.0.pdf</t>
        </is>
      </c>
      <c r="D46" s="15" t="inlineStr">
        <is>
          <t>SD Academy/03_Woodify/03_Department_Handbooks</t>
        </is>
      </c>
      <c r="E46" s="14" t="inlineStr">
        <is>
          <t>SDA-CRS-WFY-DPT-07</t>
        </is>
      </c>
      <c r="F46" s="15" t="inlineStr">
        <is>
          <t>Woodify | Factory / Manufacturing Operations | L1-L5</t>
        </is>
      </c>
      <c r="G46" s="11" t="inlineStr">
        <is>
          <t>No</t>
        </is>
      </c>
      <c r="H46" s="11" t="inlineStr">
        <is>
          <t>Yes</t>
        </is>
      </c>
      <c r="I46" s="11" t="inlineStr">
        <is>
          <t>n/a</t>
        </is>
      </c>
      <c r="J46" s="30" t="inlineStr"/>
      <c r="K46" s="30" t="inlineStr"/>
      <c r="L46" s="30" t="inlineStr"/>
      <c r="M46" s="30" t="inlineStr"/>
      <c r="N46" s="30" t="inlineStr">
        <is>
          <t>n/a</t>
        </is>
      </c>
      <c r="O46" s="30" t="inlineStr"/>
      <c r="P46" s="30" t="inlineStr"/>
      <c r="Q46" s="9" t="inlineStr"/>
      <c r="R46" s="9" t="inlineStr"/>
      <c r="S46" s="10" t="inlineStr"/>
    </row>
    <row r="47">
      <c r="A47" s="11" t="n">
        <v>29</v>
      </c>
      <c r="B47" s="9" t="inlineStr">
        <is>
          <t>WFY-DPT-08</t>
        </is>
      </c>
      <c r="C47" s="10" t="inlineStr">
        <is>
          <t>SDG_Woodify_Edge_Banding_Handbook_L1-L5_V1.0.pdf</t>
        </is>
      </c>
      <c r="D47" s="10" t="inlineStr">
        <is>
          <t>SD Academy/03_Woodify/03_Department_Handbooks</t>
        </is>
      </c>
      <c r="E47" s="9" t="inlineStr">
        <is>
          <t>SDA-CRS-WFY-DPT-08</t>
        </is>
      </c>
      <c r="F47" s="10" t="inlineStr">
        <is>
          <t>Woodify | Factory / Manufacturing Operations | L1-L5</t>
        </is>
      </c>
      <c r="G47" s="11" t="inlineStr">
        <is>
          <t>No</t>
        </is>
      </c>
      <c r="H47" s="11" t="inlineStr">
        <is>
          <t>Yes</t>
        </is>
      </c>
      <c r="I47" s="11" t="inlineStr">
        <is>
          <t>n/a</t>
        </is>
      </c>
      <c r="J47" s="30" t="inlineStr"/>
      <c r="K47" s="30" t="inlineStr"/>
      <c r="L47" s="30" t="inlineStr"/>
      <c r="M47" s="30" t="inlineStr"/>
      <c r="N47" s="30" t="inlineStr">
        <is>
          <t>n/a</t>
        </is>
      </c>
      <c r="O47" s="30" t="inlineStr"/>
      <c r="P47" s="30" t="inlineStr"/>
      <c r="Q47" s="9" t="inlineStr"/>
      <c r="R47" s="9" t="inlineStr"/>
      <c r="S47" s="10" t="inlineStr"/>
    </row>
    <row r="48">
      <c r="A48" s="16" t="n">
        <v>30</v>
      </c>
      <c r="B48" s="14" t="inlineStr">
        <is>
          <t>WFY-DPT-09</t>
        </is>
      </c>
      <c r="C48" s="15" t="inlineStr">
        <is>
          <t>SDG_Woodify_Assembly_Handbook_L1-L5_V1.0.pdf</t>
        </is>
      </c>
      <c r="D48" s="15" t="inlineStr">
        <is>
          <t>SD Academy/03_Woodify/03_Department_Handbooks</t>
        </is>
      </c>
      <c r="E48" s="14" t="inlineStr">
        <is>
          <t>SDA-CRS-WFY-DPT-09</t>
        </is>
      </c>
      <c r="F48" s="15" t="inlineStr">
        <is>
          <t>Woodify | Factory / Manufacturing Operations | L1-L5</t>
        </is>
      </c>
      <c r="G48" s="11" t="inlineStr">
        <is>
          <t>No</t>
        </is>
      </c>
      <c r="H48" s="11" t="inlineStr">
        <is>
          <t>Yes</t>
        </is>
      </c>
      <c r="I48" s="11" t="inlineStr">
        <is>
          <t>n/a</t>
        </is>
      </c>
      <c r="J48" s="30" t="inlineStr"/>
      <c r="K48" s="30" t="inlineStr"/>
      <c r="L48" s="30" t="inlineStr"/>
      <c r="M48" s="30" t="inlineStr"/>
      <c r="N48" s="30" t="inlineStr">
        <is>
          <t>n/a</t>
        </is>
      </c>
      <c r="O48" s="30" t="inlineStr"/>
      <c r="P48" s="30" t="inlineStr"/>
      <c r="Q48" s="9" t="inlineStr"/>
      <c r="R48" s="9" t="inlineStr"/>
      <c r="S48" s="10" t="inlineStr"/>
    </row>
    <row r="49">
      <c r="A49" s="11" t="n">
        <v>31</v>
      </c>
      <c r="B49" s="9" t="inlineStr">
        <is>
          <t>WFY-DPT-10</t>
        </is>
      </c>
      <c r="C49" s="10" t="inlineStr">
        <is>
          <t>SDG_Woodify_Quality_Control_Handbook_L1-L5_V1.0.pdf</t>
        </is>
      </c>
      <c r="D49" s="10" t="inlineStr">
        <is>
          <t>SD Academy/03_Woodify/03_Department_Handbooks</t>
        </is>
      </c>
      <c r="E49" s="9" t="inlineStr">
        <is>
          <t>SDA-CRS-WFY-DPT-10</t>
        </is>
      </c>
      <c r="F49" s="10" t="inlineStr">
        <is>
          <t>Woodify | Factory / Manufacturing Operations | L1-L5</t>
        </is>
      </c>
      <c r="G49" s="11" t="inlineStr">
        <is>
          <t>No</t>
        </is>
      </c>
      <c r="H49" s="11" t="inlineStr">
        <is>
          <t>Yes</t>
        </is>
      </c>
      <c r="I49" s="11" t="inlineStr">
        <is>
          <t>n/a</t>
        </is>
      </c>
      <c r="J49" s="30" t="inlineStr"/>
      <c r="K49" s="30" t="inlineStr"/>
      <c r="L49" s="30" t="inlineStr"/>
      <c r="M49" s="30" t="inlineStr"/>
      <c r="N49" s="30" t="inlineStr">
        <is>
          <t>n/a</t>
        </is>
      </c>
      <c r="O49" s="30" t="inlineStr"/>
      <c r="P49" s="30" t="inlineStr"/>
      <c r="Q49" s="9" t="inlineStr"/>
      <c r="R49" s="9" t="inlineStr"/>
      <c r="S49" s="10" t="inlineStr"/>
    </row>
    <row r="50">
      <c r="A50" s="16" t="n">
        <v>32</v>
      </c>
      <c r="B50" s="14" t="inlineStr">
        <is>
          <t>WFY-DPT-11</t>
        </is>
      </c>
      <c r="C50" s="15" t="inlineStr">
        <is>
          <t>SDG_Woodify_Warehouse_Handbook_L1-L5_V1.0.pdf</t>
        </is>
      </c>
      <c r="D50" s="15" t="inlineStr">
        <is>
          <t>SD Academy/03_Woodify/03_Department_Handbooks</t>
        </is>
      </c>
      <c r="E50" s="14" t="inlineStr">
        <is>
          <t>SDA-CRS-WFY-DPT-11</t>
        </is>
      </c>
      <c r="F50" s="15" t="inlineStr">
        <is>
          <t>Woodify | Factory / Manufacturing Operations | L1-L5</t>
        </is>
      </c>
      <c r="G50" s="11" t="inlineStr">
        <is>
          <t>No</t>
        </is>
      </c>
      <c r="H50" s="11" t="inlineStr">
        <is>
          <t>Yes</t>
        </is>
      </c>
      <c r="I50" s="11" t="inlineStr">
        <is>
          <t>n/a</t>
        </is>
      </c>
      <c r="J50" s="30" t="inlineStr"/>
      <c r="K50" s="30" t="inlineStr"/>
      <c r="L50" s="30" t="inlineStr"/>
      <c r="M50" s="30" t="inlineStr"/>
      <c r="N50" s="30" t="inlineStr">
        <is>
          <t>n/a</t>
        </is>
      </c>
      <c r="O50" s="30" t="inlineStr"/>
      <c r="P50" s="30" t="inlineStr"/>
      <c r="Q50" s="9" t="inlineStr"/>
      <c r="R50" s="9" t="inlineStr"/>
      <c r="S50" s="10" t="inlineStr"/>
    </row>
    <row r="51">
      <c r="A51" s="11" t="n">
        <v>33</v>
      </c>
      <c r="B51" s="9" t="inlineStr">
        <is>
          <t>WFY-DPT-12</t>
        </is>
      </c>
      <c r="C51" s="10" t="inlineStr">
        <is>
          <t>SDG_Woodify_Logistics_Handbook_L1-L5_V1.0.pdf</t>
        </is>
      </c>
      <c r="D51" s="10" t="inlineStr">
        <is>
          <t>SD Academy/03_Woodify/03_Department_Handbooks</t>
        </is>
      </c>
      <c r="E51" s="9" t="inlineStr">
        <is>
          <t>SDA-CRS-WFY-DPT-12</t>
        </is>
      </c>
      <c r="F51" s="10" t="inlineStr">
        <is>
          <t>Woodify | Factory / Manufacturing Operations | L1-L5</t>
        </is>
      </c>
      <c r="G51" s="11" t="inlineStr">
        <is>
          <t>No</t>
        </is>
      </c>
      <c r="H51" s="11" t="inlineStr">
        <is>
          <t>Yes</t>
        </is>
      </c>
      <c r="I51" s="11" t="inlineStr">
        <is>
          <t>n/a</t>
        </is>
      </c>
      <c r="J51" s="30" t="inlineStr"/>
      <c r="K51" s="30" t="inlineStr"/>
      <c r="L51" s="30" t="inlineStr"/>
      <c r="M51" s="30" t="inlineStr"/>
      <c r="N51" s="30" t="inlineStr">
        <is>
          <t>n/a</t>
        </is>
      </c>
      <c r="O51" s="30" t="inlineStr"/>
      <c r="P51" s="30" t="inlineStr"/>
      <c r="Q51" s="9" t="inlineStr"/>
      <c r="R51" s="9" t="inlineStr"/>
      <c r="S51" s="10" t="inlineStr"/>
    </row>
    <row r="52">
      <c r="A52" s="16" t="n">
        <v>34</v>
      </c>
      <c r="B52" s="14" t="inlineStr">
        <is>
          <t>WFY-DPT-13</t>
        </is>
      </c>
      <c r="C52" s="15" t="inlineStr">
        <is>
          <t>SDG_Woodify_Maintenance_Handbook_L1-L5_V1.0.pdf</t>
        </is>
      </c>
      <c r="D52" s="15" t="inlineStr">
        <is>
          <t>SD Academy/03_Woodify/03_Department_Handbooks</t>
        </is>
      </c>
      <c r="E52" s="14" t="inlineStr">
        <is>
          <t>SDA-CRS-WFY-DPT-13</t>
        </is>
      </c>
      <c r="F52" s="15" t="inlineStr">
        <is>
          <t>Woodify | Factory / Manufacturing Operations | L1-L5</t>
        </is>
      </c>
      <c r="G52" s="11" t="inlineStr">
        <is>
          <t>No</t>
        </is>
      </c>
      <c r="H52" s="11" t="inlineStr">
        <is>
          <t>Yes</t>
        </is>
      </c>
      <c r="I52" s="11" t="inlineStr">
        <is>
          <t>n/a</t>
        </is>
      </c>
      <c r="J52" s="30" t="inlineStr"/>
      <c r="K52" s="30" t="inlineStr"/>
      <c r="L52" s="30" t="inlineStr"/>
      <c r="M52" s="30" t="inlineStr"/>
      <c r="N52" s="30" t="inlineStr">
        <is>
          <t>n/a</t>
        </is>
      </c>
      <c r="O52" s="30" t="inlineStr"/>
      <c r="P52" s="30" t="inlineStr"/>
      <c r="Q52" s="9" t="inlineStr"/>
      <c r="R52" s="9" t="inlineStr"/>
      <c r="S52" s="10" t="inlineStr"/>
    </row>
    <row r="53">
      <c r="A53" s="11" t="n">
        <v>35</v>
      </c>
      <c r="B53" s="9" t="inlineStr">
        <is>
          <t>WFY-DPT-14</t>
        </is>
      </c>
      <c r="C53" s="10" t="inlineStr">
        <is>
          <t>SDG_Woodify_Factory_EHS_Handbook_L1-L5_V1.0.pdf</t>
        </is>
      </c>
      <c r="D53" s="10" t="inlineStr">
        <is>
          <t>SD Academy/03_Woodify/03_Department_Handbooks</t>
        </is>
      </c>
      <c r="E53" s="9" t="inlineStr">
        <is>
          <t>SDA-CRS-WFY-DPT-14</t>
        </is>
      </c>
      <c r="F53" s="10" t="inlineStr">
        <is>
          <t>Woodify | Factory / Manufacturing Operations | L1-L5</t>
        </is>
      </c>
      <c r="G53" s="31" t="inlineStr">
        <is>
          <t>Yes</t>
        </is>
      </c>
      <c r="H53" s="11" t="inlineStr">
        <is>
          <t>Yes</t>
        </is>
      </c>
      <c r="I53" s="12" t="inlineStr">
        <is>
          <t>REQUIRED</t>
        </is>
      </c>
      <c r="J53" s="30" t="inlineStr"/>
      <c r="K53" s="30" t="inlineStr"/>
      <c r="L53" s="30" t="inlineStr"/>
      <c r="M53" s="30" t="inlineStr"/>
      <c r="N53" s="30" t="inlineStr"/>
      <c r="O53" s="30" t="inlineStr"/>
      <c r="P53" s="30" t="inlineStr"/>
      <c r="Q53" s="9" t="inlineStr"/>
      <c r="R53" s="9" t="inlineStr"/>
      <c r="S53" s="10" t="inlineStr"/>
    </row>
    <row r="54">
      <c r="A54" s="16" t="n">
        <v>36</v>
      </c>
      <c r="B54" s="14" t="inlineStr">
        <is>
          <t>WFY-DPT-15</t>
        </is>
      </c>
      <c r="C54" s="15" t="inlineStr">
        <is>
          <t>SDG_Woodify_Installation_Handbook_L1-L5_V1.0.pdf</t>
        </is>
      </c>
      <c r="D54" s="15" t="inlineStr">
        <is>
          <t>SD Academy/03_Woodify/03_Department_Handbooks</t>
        </is>
      </c>
      <c r="E54" s="14" t="inlineStr">
        <is>
          <t>SDA-CRS-WFY-DPT-15</t>
        </is>
      </c>
      <c r="F54" s="15" t="inlineStr">
        <is>
          <t>Woodify | Installation / Service / Warranty Operations | L1-L5</t>
        </is>
      </c>
      <c r="G54" s="11" t="inlineStr">
        <is>
          <t>No</t>
        </is>
      </c>
      <c r="H54" s="11" t="inlineStr">
        <is>
          <t>Yes</t>
        </is>
      </c>
      <c r="I54" s="11" t="inlineStr">
        <is>
          <t>n/a</t>
        </is>
      </c>
      <c r="J54" s="30" t="inlineStr"/>
      <c r="K54" s="30" t="inlineStr"/>
      <c r="L54" s="30" t="inlineStr"/>
      <c r="M54" s="30" t="inlineStr"/>
      <c r="N54" s="30" t="inlineStr">
        <is>
          <t>n/a</t>
        </is>
      </c>
      <c r="O54" s="30" t="inlineStr"/>
      <c r="P54" s="30" t="inlineStr"/>
      <c r="Q54" s="9" t="inlineStr"/>
      <c r="R54" s="9" t="inlineStr"/>
      <c r="S54" s="10" t="inlineStr"/>
    </row>
    <row r="55">
      <c r="A55" s="11" t="n">
        <v>37</v>
      </c>
      <c r="B55" s="9" t="inlineStr">
        <is>
          <t>WFY-DPT-16</t>
        </is>
      </c>
      <c r="C55" s="10" t="inlineStr">
        <is>
          <t>SDG_Woodify_Procurement_Handbook_L1-L5_V1.0.pdf</t>
        </is>
      </c>
      <c r="D55" s="10" t="inlineStr">
        <is>
          <t>SD Academy/03_Woodify/03_Department_Handbooks</t>
        </is>
      </c>
      <c r="E55" s="9" t="inlineStr">
        <is>
          <t>SDA-CRS-WFY-DPT-16</t>
        </is>
      </c>
      <c r="F55" s="10" t="inlineStr">
        <is>
          <t>Woodify | Shared Woodify Operations | L1-L5</t>
        </is>
      </c>
      <c r="G55" s="11" t="inlineStr">
        <is>
          <t>No</t>
        </is>
      </c>
      <c r="H55" s="11" t="inlineStr">
        <is>
          <t>Yes</t>
        </is>
      </c>
      <c r="I55" s="11" t="inlineStr">
        <is>
          <t>n/a</t>
        </is>
      </c>
      <c r="J55" s="30" t="inlineStr"/>
      <c r="K55" s="30" t="inlineStr"/>
      <c r="L55" s="30" t="inlineStr"/>
      <c r="M55" s="30" t="inlineStr"/>
      <c r="N55" s="30" t="inlineStr">
        <is>
          <t>n/a</t>
        </is>
      </c>
      <c r="O55" s="30" t="inlineStr"/>
      <c r="P55" s="30" t="inlineStr"/>
      <c r="Q55" s="9" t="inlineStr"/>
      <c r="R55" s="9" t="inlineStr"/>
      <c r="S55" s="10" t="inlineStr"/>
    </row>
    <row r="56">
      <c r="A56" s="16" t="n">
        <v>38</v>
      </c>
      <c r="B56" s="14" t="inlineStr">
        <is>
          <t>WFY-SOP-04</t>
        </is>
      </c>
      <c r="C56" s="15" t="inlineStr">
        <is>
          <t>SDG_Woodify_Material_Standards_Handbook_L2-L5_V1.0.pdf</t>
        </is>
      </c>
      <c r="D56" s="15" t="inlineStr">
        <is>
          <t>SD Academy/03_Woodify/04_SOP_Handbooks</t>
        </is>
      </c>
      <c r="E56" s="14" t="inlineStr">
        <is>
          <t>SDA-CRS-WFY-SOP-04</t>
        </is>
      </c>
      <c r="F56" s="15" t="inlineStr">
        <is>
          <t>Woodify | Factory / Manufacturing Operations | L2-L5</t>
        </is>
      </c>
      <c r="G56" s="11" t="inlineStr">
        <is>
          <t>No</t>
        </is>
      </c>
      <c r="H56" s="11" t="inlineStr">
        <is>
          <t>No</t>
        </is>
      </c>
      <c r="I56" s="11" t="inlineStr">
        <is>
          <t>n/a</t>
        </is>
      </c>
      <c r="J56" s="30" t="inlineStr"/>
      <c r="K56" s="30" t="inlineStr"/>
      <c r="L56" s="30" t="inlineStr"/>
      <c r="M56" s="30" t="inlineStr"/>
      <c r="N56" s="30" t="inlineStr">
        <is>
          <t>n/a</t>
        </is>
      </c>
      <c r="O56" s="30" t="inlineStr"/>
      <c r="P56" s="30" t="inlineStr"/>
      <c r="Q56" s="9" t="inlineStr"/>
      <c r="R56" s="9" t="inlineStr"/>
      <c r="S56" s="10" t="inlineStr"/>
    </row>
    <row r="57">
      <c r="A57" s="11" t="n">
        <v>39</v>
      </c>
      <c r="B57" s="9" t="inlineStr">
        <is>
          <t>WFY-SOP-05</t>
        </is>
      </c>
      <c r="C57" s="10" t="inlineStr">
        <is>
          <t>SDG_Woodify_Factory_Quality_Gate_Handbook_L2-L5_V1.0.pdf</t>
        </is>
      </c>
      <c r="D57" s="10" t="inlineStr">
        <is>
          <t>SD Academy/03_Woodify/04_SOP_Handbooks</t>
        </is>
      </c>
      <c r="E57" s="9" t="inlineStr">
        <is>
          <t>SDA-CRS-WFY-SOP-05</t>
        </is>
      </c>
      <c r="F57" s="10" t="inlineStr">
        <is>
          <t>Woodify | Factory / Manufacturing Operations | L2-L5</t>
        </is>
      </c>
      <c r="G57" s="11" t="inlineStr">
        <is>
          <t>No</t>
        </is>
      </c>
      <c r="H57" s="11" t="inlineStr">
        <is>
          <t>No</t>
        </is>
      </c>
      <c r="I57" s="11" t="inlineStr">
        <is>
          <t>n/a</t>
        </is>
      </c>
      <c r="J57" s="30" t="inlineStr"/>
      <c r="K57" s="30" t="inlineStr"/>
      <c r="L57" s="30" t="inlineStr"/>
      <c r="M57" s="30" t="inlineStr"/>
      <c r="N57" s="30" t="inlineStr">
        <is>
          <t>n/a</t>
        </is>
      </c>
      <c r="O57" s="30" t="inlineStr"/>
      <c r="P57" s="30" t="inlineStr"/>
      <c r="Q57" s="9" t="inlineStr"/>
      <c r="R57" s="9" t="inlineStr"/>
      <c r="S57" s="10" t="inlineStr"/>
    </row>
    <row r="58">
      <c r="A58" s="16" t="n">
        <v>40</v>
      </c>
      <c r="B58" s="14" t="inlineStr">
        <is>
          <t>WFY-SOP-06</t>
        </is>
      </c>
      <c r="C58" s="15" t="inlineStr">
        <is>
          <t>SDG_Woodify_Installation_Site_Readiness_Handbook_L2-L5_V1.0.pdf</t>
        </is>
      </c>
      <c r="D58" s="15" t="inlineStr">
        <is>
          <t>SD Academy/03_Woodify/04_SOP_Handbooks</t>
        </is>
      </c>
      <c r="E58" s="14" t="inlineStr">
        <is>
          <t>SDA-CRS-WFY-SOP-06</t>
        </is>
      </c>
      <c r="F58" s="15" t="inlineStr">
        <is>
          <t>Woodify | Installation / Service / Warranty Operations | L2-L5</t>
        </is>
      </c>
      <c r="G58" s="11" t="inlineStr">
        <is>
          <t>No</t>
        </is>
      </c>
      <c r="H58" s="11" t="inlineStr">
        <is>
          <t>No</t>
        </is>
      </c>
      <c r="I58" s="11" t="inlineStr">
        <is>
          <t>n/a</t>
        </is>
      </c>
      <c r="J58" s="30" t="inlineStr"/>
      <c r="K58" s="30" t="inlineStr"/>
      <c r="L58" s="30" t="inlineStr"/>
      <c r="M58" s="30" t="inlineStr"/>
      <c r="N58" s="30" t="inlineStr">
        <is>
          <t>n/a</t>
        </is>
      </c>
      <c r="O58" s="30" t="inlineStr"/>
      <c r="P58" s="30" t="inlineStr"/>
      <c r="Q58" s="9" t="inlineStr"/>
      <c r="R58" s="9" t="inlineStr"/>
      <c r="S58" s="10" t="inlineStr"/>
    </row>
    <row r="59">
      <c r="A59" s="11" t="n">
        <v>41</v>
      </c>
      <c r="B59" s="9" t="inlineStr">
        <is>
          <t>WFY-SOP-07</t>
        </is>
      </c>
      <c r="C59" s="10" t="inlineStr">
        <is>
          <t>SDG_Woodify_Warranty_Service_Complaint_Resolution_Handbook_L2-L5_V1.0.pdf</t>
        </is>
      </c>
      <c r="D59" s="10" t="inlineStr">
        <is>
          <t>SD Academy/03_Woodify/04_SOP_Handbooks</t>
        </is>
      </c>
      <c r="E59" s="9" t="inlineStr">
        <is>
          <t>SDA-CRS-WFY-SOP-07</t>
        </is>
      </c>
      <c r="F59" s="10" t="inlineStr">
        <is>
          <t>Woodify | Installation / Service / Warranty Operations | L2-L5</t>
        </is>
      </c>
      <c r="G59" s="11" t="inlineStr">
        <is>
          <t>No</t>
        </is>
      </c>
      <c r="H59" s="11" t="inlineStr">
        <is>
          <t>No</t>
        </is>
      </c>
      <c r="I59" s="12" t="inlineStr">
        <is>
          <t>REQUIRED</t>
        </is>
      </c>
      <c r="J59" s="30" t="inlineStr"/>
      <c r="K59" s="30" t="inlineStr"/>
      <c r="L59" s="30" t="inlineStr"/>
      <c r="M59" s="30" t="inlineStr"/>
      <c r="N59" s="30" t="inlineStr">
        <is>
          <t>n/a</t>
        </is>
      </c>
      <c r="O59" s="30" t="inlineStr"/>
      <c r="P59" s="30" t="inlineStr"/>
      <c r="Q59" s="9" t="inlineStr"/>
      <c r="R59" s="9" t="inlineStr"/>
      <c r="S59" s="10" t="inlineStr"/>
    </row>
    <row r="60">
      <c r="A60" s="16" t="n">
        <v>42</v>
      </c>
      <c r="B60" s="14" t="inlineStr">
        <is>
          <t>WFY-DPT-17</t>
        </is>
      </c>
      <c r="C60" s="15" t="inlineStr">
        <is>
          <t>SDG_Woodify_Accounts_Handbook_L2-L5_V1.0.pdf</t>
        </is>
      </c>
      <c r="D60" s="15" t="inlineStr">
        <is>
          <t>SD Academy/03_Woodify/03_Department_Handbooks</t>
        </is>
      </c>
      <c r="E60" s="14" t="inlineStr">
        <is>
          <t>SDA-CRS-WFY-DPT-17</t>
        </is>
      </c>
      <c r="F60" s="15" t="inlineStr">
        <is>
          <t>Woodify | Shared Woodify Operations | L2-L5</t>
        </is>
      </c>
      <c r="G60" s="11" t="inlineStr">
        <is>
          <t>No</t>
        </is>
      </c>
      <c r="H60" s="11" t="inlineStr">
        <is>
          <t>Yes</t>
        </is>
      </c>
      <c r="I60" s="11" t="inlineStr">
        <is>
          <t>n/a</t>
        </is>
      </c>
      <c r="J60" s="30" t="inlineStr"/>
      <c r="K60" s="30" t="inlineStr"/>
      <c r="L60" s="30" t="inlineStr"/>
      <c r="M60" s="30" t="inlineStr"/>
      <c r="N60" s="30" t="inlineStr">
        <is>
          <t>n/a</t>
        </is>
      </c>
      <c r="O60" s="30" t="inlineStr"/>
      <c r="P60" s="30" t="inlineStr"/>
      <c r="Q60" s="9" t="inlineStr"/>
      <c r="R60" s="9" t="inlineStr"/>
      <c r="S60" s="10" t="inlineStr"/>
    </row>
    <row r="61">
      <c r="A61" s="11" t="n">
        <v>43</v>
      </c>
      <c r="B61" s="9" t="inlineStr">
        <is>
          <t>WFY-DPT-18</t>
        </is>
      </c>
      <c r="C61" s="10" t="inlineStr">
        <is>
          <t>SDG_Woodify_Finance_Handbook_L2-L5_V1.0.pdf</t>
        </is>
      </c>
      <c r="D61" s="10" t="inlineStr">
        <is>
          <t>SD Academy/03_Woodify/03_Department_Handbooks</t>
        </is>
      </c>
      <c r="E61" s="9" t="inlineStr">
        <is>
          <t>SDA-CRS-WFY-DPT-18</t>
        </is>
      </c>
      <c r="F61" s="10" t="inlineStr">
        <is>
          <t>Woodify | Shared Woodify Operations | L2-L5</t>
        </is>
      </c>
      <c r="G61" s="11" t="inlineStr">
        <is>
          <t>No</t>
        </is>
      </c>
      <c r="H61" s="11" t="inlineStr">
        <is>
          <t>Yes</t>
        </is>
      </c>
      <c r="I61" s="12" t="inlineStr">
        <is>
          <t>REQUIRED</t>
        </is>
      </c>
      <c r="J61" s="30" t="inlineStr"/>
      <c r="K61" s="30" t="inlineStr"/>
      <c r="L61" s="30" t="inlineStr"/>
      <c r="M61" s="30" t="inlineStr"/>
      <c r="N61" s="30" t="inlineStr">
        <is>
          <t>n/a</t>
        </is>
      </c>
      <c r="O61" s="30" t="inlineStr"/>
      <c r="P61" s="30" t="inlineStr"/>
      <c r="Q61" s="9" t="inlineStr"/>
      <c r="R61" s="9" t="inlineStr"/>
      <c r="S61" s="10" t="inlineStr"/>
    </row>
    <row r="62">
      <c r="A62" s="16" t="n">
        <v>44</v>
      </c>
      <c r="B62" s="14" t="inlineStr">
        <is>
          <t>WFY-DPT-19</t>
        </is>
      </c>
      <c r="C62" s="15" t="inlineStr">
        <is>
          <t>SDG_Woodify_HR_Handbook_L2-L5_V1.0.pdf</t>
        </is>
      </c>
      <c r="D62" s="15" t="inlineStr">
        <is>
          <t>SD Academy/03_Woodify/03_Department_Handbooks</t>
        </is>
      </c>
      <c r="E62" s="14" t="inlineStr">
        <is>
          <t>SDA-CRS-WFY-DPT-19</t>
        </is>
      </c>
      <c r="F62" s="15" t="inlineStr">
        <is>
          <t>Woodify | Shared Woodify Operations | L2-L5</t>
        </is>
      </c>
      <c r="G62" s="11" t="inlineStr">
        <is>
          <t>No</t>
        </is>
      </c>
      <c r="H62" s="11" t="inlineStr">
        <is>
          <t>Yes</t>
        </is>
      </c>
      <c r="I62" s="11" t="inlineStr">
        <is>
          <t>n/a</t>
        </is>
      </c>
      <c r="J62" s="30" t="inlineStr"/>
      <c r="K62" s="30" t="inlineStr"/>
      <c r="L62" s="30" t="inlineStr"/>
      <c r="M62" s="30" t="inlineStr"/>
      <c r="N62" s="30" t="inlineStr">
        <is>
          <t>n/a</t>
        </is>
      </c>
      <c r="O62" s="30" t="inlineStr"/>
      <c r="P62" s="30" t="inlineStr"/>
      <c r="Q62" s="9" t="inlineStr"/>
      <c r="R62" s="9" t="inlineStr"/>
      <c r="S62" s="10" t="inlineStr"/>
    </row>
    <row r="63">
      <c r="A63" s="11" t="n">
        <v>45</v>
      </c>
      <c r="B63" s="9" t="inlineStr">
        <is>
          <t>WFY-DPT-20</t>
        </is>
      </c>
      <c r="C63" s="10" t="inlineStr">
        <is>
          <t>SDG_Woodify_Admin_Handbook_L2-L5_V1.0.pdf</t>
        </is>
      </c>
      <c r="D63" s="10" t="inlineStr">
        <is>
          <t>SD Academy/03_Woodify/03_Department_Handbooks</t>
        </is>
      </c>
      <c r="E63" s="9" t="inlineStr">
        <is>
          <t>SDA-CRS-WFY-DPT-20</t>
        </is>
      </c>
      <c r="F63" s="10" t="inlineStr">
        <is>
          <t>Woodify | Shared Woodify Operations | L2-L5</t>
        </is>
      </c>
      <c r="G63" s="11" t="inlineStr">
        <is>
          <t>No</t>
        </is>
      </c>
      <c r="H63" s="11" t="inlineStr">
        <is>
          <t>Yes</t>
        </is>
      </c>
      <c r="I63" s="11" t="inlineStr">
        <is>
          <t>n/a</t>
        </is>
      </c>
      <c r="J63" s="30" t="inlineStr"/>
      <c r="K63" s="30" t="inlineStr"/>
      <c r="L63" s="30" t="inlineStr"/>
      <c r="M63" s="30" t="inlineStr"/>
      <c r="N63" s="30" t="inlineStr">
        <is>
          <t>n/a</t>
        </is>
      </c>
      <c r="O63" s="30" t="inlineStr"/>
      <c r="P63" s="30" t="inlineStr"/>
      <c r="Q63" s="9" t="inlineStr"/>
      <c r="R63" s="9" t="inlineStr"/>
      <c r="S63" s="10" t="inlineStr"/>
    </row>
    <row r="64">
      <c r="A64" s="16" t="n">
        <v>46</v>
      </c>
      <c r="B64" s="14" t="inlineStr">
        <is>
          <t>WFY-DPT-21</t>
        </is>
      </c>
      <c r="C64" s="15" t="inlineStr">
        <is>
          <t>SDG_Woodify_IT_Handbook_L2-L5_V1.0.pdf</t>
        </is>
      </c>
      <c r="D64" s="15" t="inlineStr">
        <is>
          <t>SD Academy/03_Woodify/03_Department_Handbooks</t>
        </is>
      </c>
      <c r="E64" s="14" t="inlineStr">
        <is>
          <t>SDA-CRS-WFY-DPT-21</t>
        </is>
      </c>
      <c r="F64" s="15" t="inlineStr">
        <is>
          <t>Woodify | Shared Woodify Operations | L2-L5</t>
        </is>
      </c>
      <c r="G64" s="11" t="inlineStr">
        <is>
          <t>No</t>
        </is>
      </c>
      <c r="H64" s="11" t="inlineStr">
        <is>
          <t>Yes</t>
        </is>
      </c>
      <c r="I64" s="11" t="inlineStr">
        <is>
          <t>n/a</t>
        </is>
      </c>
      <c r="J64" s="30" t="inlineStr"/>
      <c r="K64" s="30" t="inlineStr"/>
      <c r="L64" s="30" t="inlineStr"/>
      <c r="M64" s="30" t="inlineStr"/>
      <c r="N64" s="30" t="inlineStr">
        <is>
          <t>n/a</t>
        </is>
      </c>
      <c r="O64" s="30" t="inlineStr"/>
      <c r="P64" s="30" t="inlineStr"/>
      <c r="Q64" s="9" t="inlineStr"/>
      <c r="R64" s="9" t="inlineStr"/>
      <c r="S64" s="10" t="inlineStr"/>
    </row>
    <row r="65">
      <c r="A65" s="11" t="n">
        <v>47</v>
      </c>
      <c r="B65" s="9" t="inlineStr">
        <is>
          <t>WFY-LDR-01</t>
        </is>
      </c>
      <c r="C65" s="10" t="inlineStr">
        <is>
          <t>SDG_Woodify_Leadership_Handbook_L4-L5_V1.0.pdf</t>
        </is>
      </c>
      <c r="D65" s="10" t="inlineStr">
        <is>
          <t>SD Academy/03_Woodify/06_Management_Handbooks</t>
        </is>
      </c>
      <c r="E65" s="9" t="inlineStr">
        <is>
          <t>SDA-CRS-WFY-LDR-01</t>
        </is>
      </c>
      <c r="F65" s="10" t="inlineStr">
        <is>
          <t>Woodify | Shared Woodify Operations | L4-L5</t>
        </is>
      </c>
      <c r="G65" s="11" t="inlineStr">
        <is>
          <t>No</t>
        </is>
      </c>
      <c r="H65" s="11" t="inlineStr">
        <is>
          <t>Yes</t>
        </is>
      </c>
      <c r="I65" s="11" t="inlineStr">
        <is>
          <t>n/a</t>
        </is>
      </c>
      <c r="J65" s="30" t="inlineStr"/>
      <c r="K65" s="30" t="inlineStr"/>
      <c r="L65" s="30" t="inlineStr"/>
      <c r="M65" s="30" t="inlineStr"/>
      <c r="N65" s="30" t="inlineStr">
        <is>
          <t>n/a</t>
        </is>
      </c>
      <c r="O65" s="30" t="inlineStr"/>
      <c r="P65" s="30" t="inlineStr"/>
      <c r="Q65" s="9" t="inlineStr"/>
      <c r="R65" s="9" t="inlineStr"/>
      <c r="S65" s="10" t="inlineStr"/>
    </row>
    <row r="66">
      <c r="A66" s="16" t="n">
        <v>48</v>
      </c>
      <c r="B66" s="14" t="inlineStr">
        <is>
          <t>WFY-MGT-01</t>
        </is>
      </c>
      <c r="C66" s="15" t="inlineStr">
        <is>
          <t>SDG_Woodify_Management_Handbook_L4-L5_V1.0.pdf</t>
        </is>
      </c>
      <c r="D66" s="15" t="inlineStr">
        <is>
          <t>SD Academy/03_Woodify/06_Management_Handbooks</t>
        </is>
      </c>
      <c r="E66" s="14" t="inlineStr">
        <is>
          <t>SDA-CRS-WFY-MGT-01</t>
        </is>
      </c>
      <c r="F66" s="15" t="inlineStr">
        <is>
          <t>Woodify | Shared Woodify Operations | L4-L5</t>
        </is>
      </c>
      <c r="G66" s="11" t="inlineStr">
        <is>
          <t>No</t>
        </is>
      </c>
      <c r="H66" s="11" t="inlineStr">
        <is>
          <t>Yes</t>
        </is>
      </c>
      <c r="I66" s="11" t="inlineStr">
        <is>
          <t>n/a</t>
        </is>
      </c>
      <c r="J66" s="30" t="inlineStr"/>
      <c r="K66" s="30" t="inlineStr"/>
      <c r="L66" s="30" t="inlineStr"/>
      <c r="M66" s="30" t="inlineStr"/>
      <c r="N66" s="30" t="inlineStr">
        <is>
          <t>n/a</t>
        </is>
      </c>
      <c r="O66" s="30" t="inlineStr"/>
      <c r="P66" s="30" t="inlineStr"/>
      <c r="Q66" s="9" t="inlineStr"/>
      <c r="R66" s="9" t="inlineStr"/>
      <c r="S66" s="10" t="inlineStr"/>
    </row>
    <row r="67">
      <c r="A67" s="11" t="n">
        <v>49</v>
      </c>
      <c r="B67" s="9" t="inlineStr">
        <is>
          <t>TSK-SOP-01</t>
        </is>
      </c>
      <c r="C67" s="10" t="inlineStr">
        <is>
          <t>SDG_Woodify_Taskon_Product_Catalogue_Specification_Handbook_L2-L5_V1.0.pdf</t>
        </is>
      </c>
      <c r="D67" s="10" t="inlineStr">
        <is>
          <t>SD Academy/03_Woodify/04_SOP_Handbooks</t>
        </is>
      </c>
      <c r="E67" s="9" t="inlineStr">
        <is>
          <t>SDA-CRS-TSK-SOP-01</t>
        </is>
      </c>
      <c r="F67" s="10" t="inlineStr">
        <is>
          <t>Woodify | Taskon | L2-L5</t>
        </is>
      </c>
      <c r="G67" s="11" t="inlineStr">
        <is>
          <t>No</t>
        </is>
      </c>
      <c r="H67" s="11" t="inlineStr">
        <is>
          <t>No</t>
        </is>
      </c>
      <c r="I67" s="11" t="inlineStr">
        <is>
          <t>n/a</t>
        </is>
      </c>
      <c r="J67" s="30" t="inlineStr"/>
      <c r="K67" s="30" t="inlineStr"/>
      <c r="L67" s="30" t="inlineStr"/>
      <c r="M67" s="30" t="inlineStr"/>
      <c r="N67" s="30" t="inlineStr">
        <is>
          <t>n/a</t>
        </is>
      </c>
      <c r="O67" s="30" t="inlineStr"/>
      <c r="P67" s="30" t="inlineStr"/>
      <c r="Q67" s="9" t="inlineStr"/>
      <c r="R67" s="9" t="inlineStr"/>
      <c r="S67" s="10" t="inlineStr"/>
    </row>
    <row r="68">
      <c r="A68" s="16" t="n">
        <v>50</v>
      </c>
      <c r="B68" s="14" t="inlineStr">
        <is>
          <t>TSK-SOP-02</t>
        </is>
      </c>
      <c r="C68" s="15" t="inlineStr">
        <is>
          <t>SDG_Woodify_Taskon_Warranty_Service_Handbook_L2-L5_V1.0.pdf</t>
        </is>
      </c>
      <c r="D68" s="15" t="inlineStr">
        <is>
          <t>SD Academy/03_Woodify/04_SOP_Handbooks</t>
        </is>
      </c>
      <c r="E68" s="14" t="inlineStr">
        <is>
          <t>SDA-CRS-TSK-SOP-02</t>
        </is>
      </c>
      <c r="F68" s="15" t="inlineStr">
        <is>
          <t>Woodify | Taskon | L2-L5</t>
        </is>
      </c>
      <c r="G68" s="11" t="inlineStr">
        <is>
          <t>No</t>
        </is>
      </c>
      <c r="H68" s="11" t="inlineStr">
        <is>
          <t>No</t>
        </is>
      </c>
      <c r="I68" s="12" t="inlineStr">
        <is>
          <t>REQUIRED</t>
        </is>
      </c>
      <c r="J68" s="30" t="inlineStr"/>
      <c r="K68" s="30" t="inlineStr"/>
      <c r="L68" s="30" t="inlineStr"/>
      <c r="M68" s="30" t="inlineStr"/>
      <c r="N68" s="30" t="inlineStr">
        <is>
          <t>n/a</t>
        </is>
      </c>
      <c r="O68" s="30" t="inlineStr"/>
      <c r="P68" s="30" t="inlineStr"/>
      <c r="Q68" s="9" t="inlineStr"/>
      <c r="R68" s="9" t="inlineStr"/>
      <c r="S68" s="10" t="inlineStr"/>
    </row>
    <row r="69">
      <c r="A69" s="11" t="n">
        <v>51</v>
      </c>
      <c r="B69" s="9" t="inlineStr">
        <is>
          <t>TSK-SOP-03</t>
        </is>
      </c>
      <c r="C69" s="10" t="inlineStr">
        <is>
          <t>SDG_Woodify_Taskon_Logistics_Dispatch_Handbook_L2-L5_V1.0.pdf</t>
        </is>
      </c>
      <c r="D69" s="10" t="inlineStr">
        <is>
          <t>SD Academy/03_Woodify/04_SOP_Handbooks</t>
        </is>
      </c>
      <c r="E69" s="9" t="inlineStr">
        <is>
          <t>SDA-CRS-TSK-SOP-03</t>
        </is>
      </c>
      <c r="F69" s="10" t="inlineStr">
        <is>
          <t>Woodify | Taskon | L2-L5</t>
        </is>
      </c>
      <c r="G69" s="11" t="inlineStr">
        <is>
          <t>No</t>
        </is>
      </c>
      <c r="H69" s="11" t="inlineStr">
        <is>
          <t>No</t>
        </is>
      </c>
      <c r="I69" s="11" t="inlineStr">
        <is>
          <t>n/a</t>
        </is>
      </c>
      <c r="J69" s="30" t="inlineStr"/>
      <c r="K69" s="30" t="inlineStr"/>
      <c r="L69" s="30" t="inlineStr"/>
      <c r="M69" s="30" t="inlineStr"/>
      <c r="N69" s="30" t="inlineStr">
        <is>
          <t>n/a</t>
        </is>
      </c>
      <c r="O69" s="30" t="inlineStr"/>
      <c r="P69" s="30" t="inlineStr"/>
      <c r="Q69" s="9" t="inlineStr"/>
      <c r="R69" s="9" t="inlineStr"/>
      <c r="S69" s="10" t="inlineStr"/>
    </row>
    <row r="70">
      <c r="A70" s="16" t="n">
        <v>52</v>
      </c>
      <c r="B70" s="14" t="inlineStr">
        <is>
          <t>TSK-SOP-04</t>
        </is>
      </c>
      <c r="C70" s="15" t="inlineStr">
        <is>
          <t>SDG_Woodify_Taskon_Product_Installation_Demo_Handbook_L2-L5_V1.0.pdf</t>
        </is>
      </c>
      <c r="D70" s="15" t="inlineStr">
        <is>
          <t>SD Academy/03_Woodify/04_SOP_Handbooks</t>
        </is>
      </c>
      <c r="E70" s="14" t="inlineStr">
        <is>
          <t>SDA-CRS-TSK-SOP-04</t>
        </is>
      </c>
      <c r="F70" s="15" t="inlineStr">
        <is>
          <t>Woodify | Taskon | L2-L5</t>
        </is>
      </c>
      <c r="G70" s="11" t="inlineStr">
        <is>
          <t>No</t>
        </is>
      </c>
      <c r="H70" s="11" t="inlineStr">
        <is>
          <t>No</t>
        </is>
      </c>
      <c r="I70" s="11" t="inlineStr">
        <is>
          <t>n/a</t>
        </is>
      </c>
      <c r="J70" s="30" t="inlineStr"/>
      <c r="K70" s="30" t="inlineStr"/>
      <c r="L70" s="30" t="inlineStr"/>
      <c r="M70" s="30" t="inlineStr"/>
      <c r="N70" s="30" t="inlineStr">
        <is>
          <t>n/a</t>
        </is>
      </c>
      <c r="O70" s="30" t="inlineStr"/>
      <c r="P70" s="30" t="inlineStr"/>
      <c r="Q70" s="9" t="inlineStr"/>
      <c r="R70" s="9" t="inlineStr"/>
      <c r="S70" s="10" t="inlineStr"/>
    </row>
    <row r="71">
      <c r="A71" s="11" t="n">
        <v>53</v>
      </c>
      <c r="B71" s="9" t="inlineStr">
        <is>
          <t>TSK-SOP-05</t>
        </is>
      </c>
      <c r="C71" s="10" t="inlineStr">
        <is>
          <t>SDG_Woodify_Taskon_Customer_Complaint_Closure_Handbook_L2-L5_V1.0.pdf</t>
        </is>
      </c>
      <c r="D71" s="10" t="inlineStr">
        <is>
          <t>SD Academy/03_Woodify/04_SOP_Handbooks</t>
        </is>
      </c>
      <c r="E71" s="9" t="inlineStr">
        <is>
          <t>SDA-CRS-TSK-SOP-05</t>
        </is>
      </c>
      <c r="F71" s="10" t="inlineStr">
        <is>
          <t>Woodify | Taskon | L2-L5</t>
        </is>
      </c>
      <c r="G71" s="11" t="inlineStr">
        <is>
          <t>No</t>
        </is>
      </c>
      <c r="H71" s="11" t="inlineStr">
        <is>
          <t>No</t>
        </is>
      </c>
      <c r="I71" s="12" t="inlineStr">
        <is>
          <t>REQUIRED</t>
        </is>
      </c>
      <c r="J71" s="30" t="inlineStr"/>
      <c r="K71" s="30" t="inlineStr"/>
      <c r="L71" s="30" t="inlineStr"/>
      <c r="M71" s="30" t="inlineStr"/>
      <c r="N71" s="30" t="inlineStr">
        <is>
          <t>n/a</t>
        </is>
      </c>
      <c r="O71" s="30" t="inlineStr"/>
      <c r="P71" s="30" t="inlineStr"/>
      <c r="Q71" s="9" t="inlineStr"/>
      <c r="R71" s="9" t="inlineStr"/>
      <c r="S71" s="10" t="inlineStr"/>
    </row>
    <row r="73">
      <c r="A73" s="4" t="inlineStr">
        <is>
          <t>C. SIGN-OFF</t>
        </is>
      </c>
    </row>
    <row r="74">
      <c r="A74" s="5" t="inlineStr">
        <is>
          <t>Role</t>
        </is>
      </c>
      <c r="B74" s="5" t="inlineStr">
        <is>
          <t>Name</t>
        </is>
      </c>
      <c r="C74" s="5" t="inlineStr">
        <is>
          <t>Signature / Digital Confirmation</t>
        </is>
      </c>
      <c r="D74" s="5" t="inlineStr">
        <is>
          <t>Date</t>
        </is>
      </c>
    </row>
    <row r="75">
      <c r="A75" s="32" t="inlineStr">
        <is>
          <t>Portal Admin (upload complete)</t>
        </is>
      </c>
      <c r="B75" s="33" t="n"/>
      <c r="C75" s="33" t="n"/>
      <c r="D75" s="33" t="n"/>
    </row>
    <row r="76">
      <c r="A76" s="32" t="inlineStr">
        <is>
          <t>Group HR (access tags verified)</t>
        </is>
      </c>
      <c r="B76" s="33" t="n"/>
      <c r="C76" s="33" t="n"/>
      <c r="D76" s="33" t="n"/>
    </row>
    <row r="77">
      <c r="A77" s="32" t="inlineStr">
        <is>
          <t>Company Head (release approved)</t>
        </is>
      </c>
      <c r="B77" s="33" t="n"/>
      <c r="C77" s="33" t="n"/>
      <c r="D77" s="33" t="n"/>
    </row>
  </sheetData>
  <autoFilter ref="A18:S71"/>
  <dataValidations count="2">
    <dataValidation sqref="J19:P71" showDropDown="0" showInputMessage="0" showErrorMessage="0" allowBlank="1" type="list">
      <formula1>"Done,Pending,N/A"</formula1>
    </dataValidation>
    <dataValidation sqref="I19:I71" showDropDown="0" showInputMessage="0" showErrorMessage="0" allowBlank="1" type="list">
      <formula1>"Confirmed,Pending,n/a"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ACCESS BAND REFERENCE</t>
        </is>
      </c>
    </row>
    <row r="3">
      <c r="A3" s="3" t="inlineStr">
        <is>
          <t>What each access band is used for across SD Group.</t>
        </is>
      </c>
    </row>
    <row r="5">
      <c r="A5" s="5" t="inlineStr">
        <is>
          <t>Access band</t>
        </is>
      </c>
      <c r="B5" s="5" t="inlineStr">
        <is>
          <t>Used for</t>
        </is>
      </c>
    </row>
    <row r="6">
      <c r="A6" s="34" t="inlineStr">
        <is>
          <t>L1-L5</t>
        </is>
      </c>
      <c r="B6" s="25" t="inlineStr">
        <is>
          <t>Common employee, code of conduct, attendance &amp; leave, HR basics, company/division handbook, department execution, basic safety, basic training, acknowledgement books</t>
        </is>
      </c>
    </row>
    <row r="7">
      <c r="A7" s="34" t="inlineStr">
        <is>
          <t>L2-L5</t>
        </is>
      </c>
      <c r="B7" s="25" t="inlineStr">
        <is>
          <t>SOP-heavy, tool usage, department workflow, execution process, software books</t>
        </is>
      </c>
    </row>
    <row r="8">
      <c r="A8" s="34" t="inlineStr">
        <is>
          <t>L3-L5</t>
        </is>
      </c>
      <c r="B8" s="25" t="inlineStr">
        <is>
          <t>Senior coordination, client escalation, advanced reporting, commercial process, data quality, compliance process</t>
        </is>
      </c>
    </row>
    <row r="9">
      <c r="A9" s="34" t="inlineStr">
        <is>
          <t>L4-L5</t>
        </is>
      </c>
      <c r="B9" s="25" t="inlineStr">
        <is>
          <t>Management review, approval matrix, team monitoring, internal audit, escalation control, corrective action</t>
        </is>
      </c>
    </row>
    <row r="10">
      <c r="A10" s="34" t="inlineStr">
        <is>
          <t>L5</t>
        </is>
      </c>
      <c r="B10" s="25" t="inlineStr">
        <is>
          <t>Founder/director strategy, confidential strategy, restructuring, sensitive legal strategy, high-level governance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50" customWidth="1" min="4" max="4"/>
  </cols>
  <sheetData>
    <row r="1">
      <c r="A1" s="1" t="inlineStr">
        <is>
          <t>SD GROUP - EMPLOYEE HANDBOOK REGISTER</t>
        </is>
      </c>
    </row>
    <row r="2">
      <c r="A2" s="2" t="inlineStr">
        <is>
          <t>STATUS FLOW - 15 STAGES</t>
        </is>
      </c>
    </row>
    <row r="3">
      <c r="A3" s="3" t="inlineStr">
        <is>
          <t>Each book moves through these stages. Use the dropdown in Register.</t>
        </is>
      </c>
    </row>
    <row r="5">
      <c r="A5" s="5" t="inlineStr">
        <is>
          <t>#</t>
        </is>
      </c>
      <c r="B5" s="5" t="inlineStr">
        <is>
          <t>Stage</t>
        </is>
      </c>
      <c r="C5" s="5" t="inlineStr">
        <is>
          <t>Gate owner</t>
        </is>
      </c>
      <c r="D5" s="5" t="inlineStr">
        <is>
          <t>Exit criteria</t>
        </is>
      </c>
    </row>
    <row r="6">
      <c r="A6" s="35" t="n">
        <v>1</v>
      </c>
      <c r="B6" s="36" t="inlineStr">
        <is>
          <t>Not Started</t>
        </is>
      </c>
      <c r="C6" s="36" t="inlineStr">
        <is>
          <t>Register owner</t>
        </is>
      </c>
      <c r="D6" s="36" t="inlineStr">
        <is>
          <t>Data sheet received</t>
        </is>
      </c>
    </row>
    <row r="7">
      <c r="A7" s="35" t="n">
        <v>2</v>
      </c>
      <c r="B7" s="36" t="inlineStr">
        <is>
          <t>Draft Content Created</t>
        </is>
      </c>
      <c r="C7" s="36" t="inlineStr">
        <is>
          <t>Book Owner</t>
        </is>
      </c>
      <c r="D7" s="36" t="inlineStr">
        <is>
          <t>Full draft on approved template</t>
        </is>
      </c>
    </row>
    <row r="8">
      <c r="A8" s="35" t="n">
        <v>3</v>
      </c>
      <c r="B8" s="36" t="inlineStr">
        <is>
          <t>HR Review Pending</t>
        </is>
      </c>
      <c r="C8" s="36" t="inlineStr">
        <is>
          <t>Group HR</t>
        </is>
      </c>
      <c r="D8" s="36" t="inlineStr">
        <is>
          <t>Queued for HR check</t>
        </is>
      </c>
    </row>
    <row r="9">
      <c r="A9" s="35" t="n">
        <v>4</v>
      </c>
      <c r="B9" s="36" t="inlineStr">
        <is>
          <t>HR Approved</t>
        </is>
      </c>
      <c r="C9" s="36" t="inlineStr">
        <is>
          <t>Group HR</t>
        </is>
      </c>
      <c r="D9" s="36" t="inlineStr">
        <is>
          <t>Policy consistency verified</t>
        </is>
      </c>
    </row>
    <row r="10">
      <c r="A10" s="35" t="n">
        <v>5</v>
      </c>
      <c r="B10" s="36" t="inlineStr">
        <is>
          <t>Legal Review Pending</t>
        </is>
      </c>
      <c r="C10" s="36" t="inlineStr">
        <is>
          <t>Legal &amp; Compliance</t>
        </is>
      </c>
      <c r="D10" s="36" t="inlineStr">
        <is>
          <t>Queued where Legal = Yes</t>
        </is>
      </c>
    </row>
    <row r="11">
      <c r="A11" s="35" t="n">
        <v>6</v>
      </c>
      <c r="B11" s="36" t="inlineStr">
        <is>
          <t>Legal Approved</t>
        </is>
      </c>
      <c r="C11" s="36" t="inlineStr">
        <is>
          <t>Legal &amp; Compliance</t>
        </is>
      </c>
      <c r="D11" s="36" t="inlineStr">
        <is>
          <t>Statutory sign-off recorded</t>
        </is>
      </c>
    </row>
    <row r="12">
      <c r="A12" s="35" t="n">
        <v>7</v>
      </c>
      <c r="B12" s="36" t="inlineStr">
        <is>
          <t>Management Review Pending</t>
        </is>
      </c>
      <c r="C12" s="36" t="inlineStr">
        <is>
          <t>Brand Head / CHRO</t>
        </is>
      </c>
      <c r="D12" s="36" t="inlineStr">
        <is>
          <t>Queued for approval</t>
        </is>
      </c>
    </row>
    <row r="13">
      <c r="A13" s="35" t="n">
        <v>8</v>
      </c>
      <c r="B13" s="36" t="inlineStr">
        <is>
          <t>Management Approved</t>
        </is>
      </c>
      <c r="C13" s="36" t="inlineStr">
        <is>
          <t>Brand Head / CHRO</t>
        </is>
      </c>
      <c r="D13" s="36" t="inlineStr">
        <is>
          <t>Signed approval in register</t>
        </is>
      </c>
    </row>
    <row r="14">
      <c r="A14" s="35" t="n">
        <v>9</v>
      </c>
      <c r="B14" s="36" t="inlineStr">
        <is>
          <t>PDF Designed</t>
        </is>
      </c>
      <c r="C14" s="36" t="inlineStr">
        <is>
          <t>Design cell</t>
        </is>
      </c>
      <c r="D14" s="36" t="inlineStr">
        <is>
          <t>Branded PDF with footer + metadata</t>
        </is>
      </c>
    </row>
    <row r="15">
      <c r="A15" s="37" t="n">
        <v>10</v>
      </c>
      <c r="B15" s="38" t="inlineStr">
        <is>
          <t>PDF Final Checked</t>
        </is>
      </c>
      <c r="C15" s="38" t="inlineStr">
        <is>
          <t>QC reviewer</t>
        </is>
      </c>
      <c r="D15" s="38" t="inlineStr">
        <is>
          <t>Proof-read; version block verified</t>
        </is>
      </c>
    </row>
    <row r="16">
      <c r="A16" s="35" t="n">
        <v>11</v>
      </c>
      <c r="B16" s="36" t="inlineStr">
        <is>
          <t>Uploaded to SD Academy</t>
        </is>
      </c>
      <c r="C16" s="36" t="inlineStr">
        <is>
          <t>Portal admin</t>
        </is>
      </c>
      <c r="D16" s="36" t="inlineStr">
        <is>
          <t>Live in correct folder path</t>
        </is>
      </c>
    </row>
    <row r="17">
      <c r="A17" s="35" t="n">
        <v>12</v>
      </c>
      <c r="B17" s="36" t="inlineStr">
        <is>
          <t>Access Tagged</t>
        </is>
      </c>
      <c r="C17" s="36" t="inlineStr">
        <is>
          <t>Portal admin</t>
        </is>
      </c>
      <c r="D17" s="36" t="inlineStr">
        <is>
          <t>Company/division/level/role tags applied</t>
        </is>
      </c>
    </row>
    <row r="18">
      <c r="A18" s="35" t="n">
        <v>13</v>
      </c>
      <c r="B18" s="36" t="inlineStr">
        <is>
          <t>Acknowledgement Campaign Live</t>
        </is>
      </c>
      <c r="C18" s="36" t="inlineStr">
        <is>
          <t>Portal admin</t>
        </is>
      </c>
      <c r="D18" s="36" t="inlineStr">
        <is>
          <t>Ack task pushed to target employees</t>
        </is>
      </c>
    </row>
    <row r="19">
      <c r="A19" s="35" t="n">
        <v>14</v>
      </c>
      <c r="B19" s="36" t="inlineStr">
        <is>
          <t>Employee Acknowledgement Completed</t>
        </is>
      </c>
      <c r="C19" s="36" t="inlineStr">
        <is>
          <t>Group HR</t>
        </is>
      </c>
      <c r="D19" s="36" t="inlineStr">
        <is>
          <t>&gt;= 95% acknowledged; laggards escalated</t>
        </is>
      </c>
    </row>
    <row r="20">
      <c r="A20" s="35" t="n">
        <v>15</v>
      </c>
      <c r="B20" s="36" t="inlineStr">
        <is>
          <t>Archived / Superseded</t>
        </is>
      </c>
      <c r="C20" s="36" t="inlineStr">
        <is>
          <t>Portal admin</t>
        </is>
      </c>
      <c r="D20" s="36" t="inlineStr">
        <is>
          <t>Old version moved to 12_Archived_Versions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0" customWidth="1" min="4" max="4"/>
    <col width="14" customWidth="1" min="5" max="5"/>
  </cols>
  <sheetData>
    <row r="1">
      <c r="A1" s="1" t="inlineStr">
        <is>
          <t>SD GROUP - EMPLOYEE HANDBOOK REGISTER</t>
        </is>
      </c>
    </row>
    <row r="2">
      <c r="A2" s="2" t="inlineStr">
        <is>
          <t>CHANGE LOG</t>
        </is>
      </c>
    </row>
    <row r="3">
      <c r="A3" s="3" t="inlineStr">
        <is>
          <t>Record every structural or status change to this register.</t>
        </is>
      </c>
    </row>
    <row r="5">
      <c r="A5" s="5" t="inlineStr">
        <is>
          <t>Date</t>
        </is>
      </c>
      <c r="B5" s="5" t="inlineStr">
        <is>
          <t>Version</t>
        </is>
      </c>
      <c r="C5" s="5" t="inlineStr">
        <is>
          <t>Change Type</t>
        </is>
      </c>
      <c r="D5" s="5" t="inlineStr">
        <is>
          <t>Description</t>
        </is>
      </c>
      <c r="E5" s="5" t="inlineStr">
        <is>
          <t>By</t>
        </is>
      </c>
    </row>
    <row r="6">
      <c r="A6" s="39" t="inlineStr">
        <is>
          <t>23-Jul-2026</t>
        </is>
      </c>
      <c r="B6" s="39" t="inlineStr">
        <is>
          <t>v1.0</t>
        </is>
      </c>
      <c r="C6" s="39" t="inlineStr">
        <is>
          <t>Register split from group master - Woodify</t>
        </is>
      </c>
      <c r="D6" s="25" t="inlineStr">
        <is>
          <t>Woodify register separated from SDG_Handbook_Master_Register_v3.1 into a standalone workbook covering 53 books. All 53 handbooks produced as entity-branded, QC-audited PDFs; status 'PDF Final Checked'. Next stages: HR/Legal/Management sign-off, SD Academy upload, access tagging, acknowledgement campaign.</t>
        </is>
      </c>
      <c r="E6" s="39" t="inlineStr">
        <is>
          <t>Group HR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</cols>
  <sheetData>
    <row r="1">
      <c r="A1" s="40" t="inlineStr">
        <is>
          <t>Validation lists (do not delete)</t>
        </is>
      </c>
    </row>
    <row r="3">
      <c r="A3" s="41" t="inlineStr">
        <is>
          <t>Status</t>
        </is>
      </c>
      <c r="B3" s="41" t="inlineStr">
        <is>
          <t>Access</t>
        </is>
      </c>
      <c r="C3" s="41" t="inlineStr">
        <is>
          <t>Yes/No</t>
        </is>
      </c>
    </row>
    <row r="4">
      <c r="A4" t="inlineStr">
        <is>
          <t>Not Started</t>
        </is>
      </c>
      <c r="B4" t="inlineStr">
        <is>
          <t>L1-L5</t>
        </is>
      </c>
      <c r="C4" t="inlineStr">
        <is>
          <t>Yes</t>
        </is>
      </c>
    </row>
    <row r="5">
      <c r="A5" t="inlineStr">
        <is>
          <t>Draft Content Created</t>
        </is>
      </c>
      <c r="B5" t="inlineStr">
        <is>
          <t>L2-L5</t>
        </is>
      </c>
      <c r="C5" t="inlineStr">
        <is>
          <t>No</t>
        </is>
      </c>
    </row>
    <row r="6">
      <c r="A6" t="inlineStr">
        <is>
          <t>HR Review Pending</t>
        </is>
      </c>
      <c r="B6" t="inlineStr">
        <is>
          <t>L3-L5</t>
        </is>
      </c>
    </row>
    <row r="7">
      <c r="A7" t="inlineStr">
        <is>
          <t>HR Approved</t>
        </is>
      </c>
      <c r="B7" t="inlineStr">
        <is>
          <t>L4-L5</t>
        </is>
      </c>
    </row>
    <row r="8">
      <c r="A8" t="inlineStr">
        <is>
          <t>Legal Review Pending</t>
        </is>
      </c>
      <c r="B8" t="inlineStr">
        <is>
          <t>L5</t>
        </is>
      </c>
    </row>
    <row r="9">
      <c r="A9" t="inlineStr">
        <is>
          <t>Legal Approved</t>
        </is>
      </c>
    </row>
    <row r="10">
      <c r="A10" t="inlineStr">
        <is>
          <t>Management Review Pending</t>
        </is>
      </c>
    </row>
    <row r="11">
      <c r="A11" t="inlineStr">
        <is>
          <t>Management Approved</t>
        </is>
      </c>
    </row>
    <row r="12">
      <c r="A12" t="inlineStr">
        <is>
          <t>PDF Designed</t>
        </is>
      </c>
    </row>
    <row r="13">
      <c r="A13" t="inlineStr">
        <is>
          <t>PDF Final Checked</t>
        </is>
      </c>
    </row>
    <row r="14">
      <c r="A14" t="inlineStr">
        <is>
          <t>Uploaded to SD Academy</t>
        </is>
      </c>
    </row>
    <row r="15">
      <c r="A15" t="inlineStr">
        <is>
          <t>Access Tagged</t>
        </is>
      </c>
    </row>
    <row r="16">
      <c r="A16" t="inlineStr">
        <is>
          <t>Acknowledgement Campaign Live</t>
        </is>
      </c>
    </row>
    <row r="17">
      <c r="A17" t="inlineStr">
        <is>
          <t>Employee Acknowledgement Completed</t>
        </is>
      </c>
    </row>
    <row r="18">
      <c r="A18" t="inlineStr">
        <is>
          <t>Archived / Superseded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2026-08-05T17:02:20Z</dcterms:created>
  <dcterms:modified xmlns:dcterms="http://purl.org/dc/terms/" xmlns:xsi="http://www.w3.org/2001/XMLSchema-instance" xsi:type="dcterms:W3CDTF">2026-08-05T17:02:20Z</dcterms:modified>
</cp:coreProperties>
</file>