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'Register'!$A$5:$X$25</definedName>
    <definedName name="_xlnm._FilterDatabase" localSheetId="2" hidden="1">'Level_Matrix'!$A$5:$L$25</definedName>
    <definedName name="_xlnm._FilterDatabase" localSheetId="4" hidden="1">'Upload_Checklist'!$A$18:$S$38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ARAM PAZHAGUVOM FOUNDATION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COUNTA(Register!$A$6:$A$25)</f>
        <v/>
      </c>
    </row>
    <row r="8">
      <c r="A8" s="6" t="inlineStr">
        <is>
          <t>Books requiring HR review</t>
        </is>
      </c>
      <c r="B8" s="7">
        <f>COUNTIF(Register!$I$6:$I$25,"Yes")</f>
        <v/>
      </c>
    </row>
    <row r="9">
      <c r="A9" s="6" t="inlineStr">
        <is>
          <t>Books requiring legal review (legal-sensitive)</t>
        </is>
      </c>
      <c r="B9" s="7">
        <f>COUNTIF(Register!$J$6:$J$25,"Yes")</f>
        <v/>
      </c>
    </row>
    <row r="10">
      <c r="A10" s="6" t="inlineStr">
        <is>
          <t>Books requiring management approval</t>
        </is>
      </c>
      <c r="B10" s="7">
        <f>COUNTIF(Register!$K$6:$K$25,"Yes")</f>
        <v/>
      </c>
    </row>
    <row r="11">
      <c r="A11" s="6" t="inlineStr">
        <is>
          <t>Books requiring employee acknowledgement</t>
        </is>
      </c>
      <c r="B11" s="7">
        <f>COUNTIF(Register!$L$6:$L$25,"Yes")</f>
        <v/>
      </c>
    </row>
    <row r="12">
      <c r="A12" s="6" t="inlineStr">
        <is>
          <t>Books requiring quiz / assessment</t>
        </is>
      </c>
      <c r="B12" s="7">
        <f>COUNTIF(Register!$M$6:$M$25,"Yes")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COUNTIF(Register!$S$6:$S$25,"Not Started")</f>
        <v/>
      </c>
    </row>
    <row r="17">
      <c r="A17" s="6" t="inlineStr">
        <is>
          <t>Draft Content Created</t>
        </is>
      </c>
      <c r="B17" s="8">
        <f>COUNTIF(Register!$S$6:$S$25,"Draft Content Created")</f>
        <v/>
      </c>
    </row>
    <row r="18">
      <c r="A18" s="6" t="inlineStr">
        <is>
          <t>HR Review Pending</t>
        </is>
      </c>
      <c r="B18" s="8">
        <f>COUNTIF(Register!$S$6:$S$25,"HR Review Pending")</f>
        <v/>
      </c>
    </row>
    <row r="19">
      <c r="A19" s="6" t="inlineStr">
        <is>
          <t>HR Approved</t>
        </is>
      </c>
      <c r="B19" s="8">
        <f>COUNTIF(Register!$S$6:$S$25,"HR Approved")</f>
        <v/>
      </c>
    </row>
    <row r="20">
      <c r="A20" s="6" t="inlineStr">
        <is>
          <t>Legal Review Pending</t>
        </is>
      </c>
      <c r="B20" s="8">
        <f>COUNTIF(Register!$S$6:$S$25,"Legal Review Pending")</f>
        <v/>
      </c>
    </row>
    <row r="21">
      <c r="A21" s="6" t="inlineStr">
        <is>
          <t>Legal Approved</t>
        </is>
      </c>
      <c r="B21" s="8">
        <f>COUNTIF(Register!$S$6:$S$25,"Legal Approved")</f>
        <v/>
      </c>
    </row>
    <row r="22">
      <c r="A22" s="6" t="inlineStr">
        <is>
          <t>Management Review Pending</t>
        </is>
      </c>
      <c r="B22" s="8">
        <f>COUNTIF(Register!$S$6:$S$25,"Management Review Pending")</f>
        <v/>
      </c>
    </row>
    <row r="23">
      <c r="A23" s="6" t="inlineStr">
        <is>
          <t>Management Approved</t>
        </is>
      </c>
      <c r="B23" s="8">
        <f>COUNTIF(Register!$S$6:$S$25,"Management Approved")</f>
        <v/>
      </c>
    </row>
    <row r="24">
      <c r="A24" s="6" t="inlineStr">
        <is>
          <t>PDF Designed</t>
        </is>
      </c>
      <c r="B24" s="8">
        <f>COUNTIF(Register!$S$6:$S$25,"PDF Designed")</f>
        <v/>
      </c>
    </row>
    <row r="25">
      <c r="A25" s="6" t="inlineStr">
        <is>
          <t>PDF Final Checked</t>
        </is>
      </c>
      <c r="B25" s="8">
        <f>COUNTIF(Register!$S$6:$S$25,"PDF Final Checked")</f>
        <v/>
      </c>
    </row>
    <row r="26">
      <c r="A26" s="6" t="inlineStr">
        <is>
          <t>Uploaded to SD Academy</t>
        </is>
      </c>
      <c r="B26" s="8">
        <f>COUNTIF(Register!$S$6:$S$25,"Uploaded to SD Academy")</f>
        <v/>
      </c>
    </row>
    <row r="27">
      <c r="A27" s="6" t="inlineStr">
        <is>
          <t>Access Tagged</t>
        </is>
      </c>
      <c r="B27" s="8">
        <f>COUNTIF(Register!$S$6:$S$25,"Access Tagged")</f>
        <v/>
      </c>
    </row>
    <row r="28">
      <c r="A28" s="6" t="inlineStr">
        <is>
          <t>Acknowledgement Campaign Live</t>
        </is>
      </c>
      <c r="B28" s="8">
        <f>COUNTIF(Register!$S$6:$S$25,"Acknowledgement Campaign Live")</f>
        <v/>
      </c>
    </row>
    <row r="29">
      <c r="A29" s="6" t="inlineStr">
        <is>
          <t>Employee Acknowledgement Completed</t>
        </is>
      </c>
      <c r="B29" s="8">
        <f>COUNTIF(Register!$S$6:$S$25,"Employee Acknowledgement Completed")</f>
        <v/>
      </c>
    </row>
    <row r="30">
      <c r="A30" s="6" t="inlineStr">
        <is>
          <t>Archived / Superseded</t>
        </is>
      </c>
      <c r="B30" s="8">
        <f>COUNTIF(Register!$S$6:$S$25,"Archived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COUNTIF(Register!$F$6:$F$25,"L1-L5")</f>
        <v/>
      </c>
    </row>
    <row r="35">
      <c r="A35" s="6" t="inlineStr">
        <is>
          <t>L2-L5</t>
        </is>
      </c>
      <c r="B35" s="8">
        <f>COUNTIF(Register!$F$6:$F$25,"L2-L5")</f>
        <v/>
      </c>
    </row>
    <row r="36">
      <c r="A36" s="6" t="inlineStr">
        <is>
          <t>L3-L5</t>
        </is>
      </c>
      <c r="B36" s="8">
        <f>COUNTIF(Register!$F$6:$F$25,"L3-L5")</f>
        <v/>
      </c>
    </row>
    <row r="37">
      <c r="A37" s="6" t="inlineStr">
        <is>
          <t>L4-L5</t>
        </is>
      </c>
      <c r="B37" s="8">
        <f>COUNTIF(Register!$F$6:$F$25,"L4-L5")</f>
        <v/>
      </c>
    </row>
    <row r="38">
      <c r="A38" s="6" t="inlineStr">
        <is>
          <t>L5</t>
        </is>
      </c>
      <c r="B38" s="8">
        <f>COUNTIF(Register!$F$6:$F$25,"L5")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COUNTIF(Upload_Checklist!$J$19:$J$38,"Done")&amp;" / 20"</f>
        <v/>
      </c>
    </row>
    <row r="43">
      <c r="A43" s="6" t="inlineStr">
        <is>
          <t>2. Folder Path Verified</t>
        </is>
      </c>
      <c r="B43" s="8">
        <f>COUNTIF(Upload_Checklist!$K$19:$K$38,"Done")&amp;" / 20"</f>
        <v/>
      </c>
    </row>
    <row r="44">
      <c r="A44" s="6" t="inlineStr">
        <is>
          <t>3. Access Tags Applied</t>
        </is>
      </c>
      <c r="B44" s="8">
        <f>COUNTIF(Upload_Checklist!$L$19:$L$38,"Done")&amp;" / 20"</f>
        <v/>
      </c>
    </row>
    <row r="45">
      <c r="A45" s="6" t="inlineStr">
        <is>
          <t>4. Course Linked</t>
        </is>
      </c>
      <c r="B45" s="8">
        <f>COUNTIF(Upload_Checklist!$M$19:$M$38,"Done")&amp;" / 20"</f>
        <v/>
      </c>
    </row>
    <row r="46">
      <c r="A46" s="6" t="inlineStr">
        <is>
          <t>5. Quiz Attached</t>
        </is>
      </c>
      <c r="B46" s="8">
        <f>COUNTIF(Upload_Checklist!$N$19:$N$38,"Done")&amp;" / 20"</f>
        <v/>
      </c>
    </row>
    <row r="47">
      <c r="A47" s="6" t="inlineStr">
        <is>
          <t>6. Live Link Tested</t>
        </is>
      </c>
      <c r="B47" s="8">
        <f>COUNTIF(Upload_Checklist!$O$19:$O$38,"Done")&amp;" / 20"</f>
        <v/>
      </c>
    </row>
    <row r="48">
      <c r="A48" s="6" t="inlineStr">
        <is>
          <t>7. Ack Campaign Pushed</t>
        </is>
      </c>
      <c r="B48" s="8">
        <f>COUNTIF(Upload_Checklist!$P$19:$P$38,"Done")&amp;" / 20"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COUNTIF(Register!$E$6:$E$25,"Company / Division Handbook")</f>
        <v/>
      </c>
    </row>
    <row r="53">
      <c r="A53" s="6" t="inlineStr">
        <is>
          <t>Compliance Handbook</t>
        </is>
      </c>
      <c r="B53" s="8">
        <f>COUNTIF(Register!$E$6:$E$25,"Compliance Handbook")</f>
        <v/>
      </c>
    </row>
    <row r="54">
      <c r="A54" s="6" t="inlineStr">
        <is>
          <t>Department Handbook</t>
        </is>
      </c>
      <c r="B54" s="8">
        <f>COUNTIF(Register!$E$6:$E$25,"Department Handbook")</f>
        <v/>
      </c>
    </row>
    <row r="55">
      <c r="A55" s="6" t="inlineStr">
        <is>
          <t>Leadership Handbook</t>
        </is>
      </c>
      <c r="B55" s="8">
        <f>COUNTIF(Register!$E$6:$E$25,"Leadership Handbook")</f>
        <v/>
      </c>
    </row>
    <row r="56">
      <c r="A56" s="6" t="inlineStr">
        <is>
          <t>Management Handbook</t>
        </is>
      </c>
      <c r="B56" s="8">
        <f>COUNTIF(Register!$E$6:$E$25,"Management Handbook")</f>
        <v/>
      </c>
    </row>
    <row r="57">
      <c r="A57" s="6" t="inlineStr">
        <is>
          <t>SOP Handbook</t>
        </is>
      </c>
      <c r="B57" s="8">
        <f>COUNTIF(Register!$E$6:$E$25,"SOP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ARAM PAZHAGUVOM FOUNDATION - HANDBOOK REGISTER (20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APF-BRD-01</t>
        </is>
      </c>
      <c r="B6" s="10" t="inlineStr">
        <is>
          <t>Aram Pazhaguvom Foundation Handbook</t>
        </is>
      </c>
      <c r="C6" s="9" t="inlineStr">
        <is>
          <t>All Divisions</t>
        </is>
      </c>
      <c r="D6" s="9" t="inlineStr">
        <is>
          <t>Foundation-wide</t>
        </is>
      </c>
      <c r="E6" s="9" t="inlineStr">
        <is>
          <t>Company / Division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HRBP - Aram Pazhaguvom Foundation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SDA-CRS-APF-BRD-01</t>
        </is>
      </c>
      <c r="P6" s="10" t="inlineStr">
        <is>
          <t>SD Academy/07_Aram_Pazhaguvom/01_Company_Handbooks</t>
        </is>
      </c>
      <c r="Q6" s="10" t="inlineStr">
        <is>
          <t>SDG_AramPazhaguvom_Foundation_Handbook_L1-L5_V1.0.pdf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High</t>
        </is>
      </c>
      <c r="U6" s="11" t="inlineStr">
        <is>
          <t>Wave 2</t>
        </is>
      </c>
      <c r="V6" s="9" t="inlineStr">
        <is>
          <t>Annual + on law change</t>
        </is>
      </c>
      <c r="W6" s="13" t="n">
        <v>46478</v>
      </c>
      <c r="X6" s="10" t="inlineStr"/>
    </row>
    <row r="7">
      <c r="A7" s="14" t="inlineStr">
        <is>
          <t>APF-DPT-05</t>
        </is>
      </c>
      <c r="B7" s="15" t="inlineStr">
        <is>
          <t>Fundraising &amp; Donor / Sponsor Coordination Handbook</t>
        </is>
      </c>
      <c r="C7" s="14" t="inlineStr">
        <is>
          <t>Donor / Sponsor Coordination</t>
        </is>
      </c>
      <c r="D7" s="14" t="inlineStr">
        <is>
          <t>Fundraising</t>
        </is>
      </c>
      <c r="E7" s="14" t="inlineStr">
        <is>
          <t>Department Handbook</t>
        </is>
      </c>
      <c r="F7" s="16" t="inlineStr">
        <is>
          <t>L2-L5</t>
        </is>
      </c>
      <c r="G7" s="14" t="inlineStr">
        <is>
          <t>Internal</t>
        </is>
      </c>
      <c r="H7" s="14" t="inlineStr">
        <is>
          <t>Dept Head - APF/Fundraising</t>
        </is>
      </c>
      <c r="I7" s="16" t="inlineStr">
        <is>
          <t>Yes</t>
        </is>
      </c>
      <c r="J7" s="16" t="inlineStr">
        <is>
          <t>No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SDA-CRS-APF-DPT-05</t>
        </is>
      </c>
      <c r="P7" s="15" t="inlineStr">
        <is>
          <t>SD Academy/07_Aram_Pazhaguvom/03_Department_Handbooks</t>
        </is>
      </c>
      <c r="Q7" s="15" t="inlineStr">
        <is>
          <t>SDG_AramPazhaguvom_Fundraising_Donor_Sponsor_Coordination_Handbook_L2-L5_V1.0.pdf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3</t>
        </is>
      </c>
      <c r="V7" s="14" t="inlineStr">
        <is>
          <t>Annual</t>
        </is>
      </c>
      <c r="W7" s="17" t="n">
        <v>46478</v>
      </c>
      <c r="X7" s="15" t="inlineStr"/>
    </row>
    <row r="8">
      <c r="A8" s="9" t="inlineStr">
        <is>
          <t>APF-DPT-06</t>
        </is>
      </c>
      <c r="B8" s="10" t="inlineStr">
        <is>
          <t>Partnerships Handbook</t>
        </is>
      </c>
      <c r="C8" s="9" t="inlineStr">
        <is>
          <t>Donor / Sponsor Coordination</t>
        </is>
      </c>
      <c r="D8" s="9" t="inlineStr">
        <is>
          <t>Partnerships</t>
        </is>
      </c>
      <c r="E8" s="9" t="inlineStr">
        <is>
          <t>Department Handbook</t>
        </is>
      </c>
      <c r="F8" s="11" t="inlineStr">
        <is>
          <t>L2-L5</t>
        </is>
      </c>
      <c r="G8" s="9" t="inlineStr">
        <is>
          <t>Internal</t>
        </is>
      </c>
      <c r="H8" s="9" t="inlineStr">
        <is>
          <t>Dept Head - APF/Partnerships</t>
        </is>
      </c>
      <c r="I8" s="11" t="inlineStr">
        <is>
          <t>Yes</t>
        </is>
      </c>
      <c r="J8" s="11" t="inlineStr">
        <is>
          <t>No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SDA-CRS-APF-DPT-06</t>
        </is>
      </c>
      <c r="P8" s="10" t="inlineStr">
        <is>
          <t>SD Academy/07_Aram_Pazhaguvom/03_Department_Handbooks</t>
        </is>
      </c>
      <c r="Q8" s="10" t="inlineStr">
        <is>
          <t>SDG_AramPazhaguvom_Partnerships_Handbook_L2-L5_V1.0.pdf</t>
        </is>
      </c>
      <c r="R8" s="11" t="n">
        <v>1</v>
      </c>
      <c r="S8" s="9" t="inlineStr">
        <is>
          <t>PDF Final Checked</t>
        </is>
      </c>
      <c r="T8" s="11" t="inlineStr">
        <is>
          <t>High</t>
        </is>
      </c>
      <c r="U8" s="11" t="inlineStr">
        <is>
          <t>Wave 3</t>
        </is>
      </c>
      <c r="V8" s="9" t="inlineStr">
        <is>
          <t>Annual</t>
        </is>
      </c>
      <c r="W8" s="13" t="n">
        <v>46478</v>
      </c>
      <c r="X8" s="10" t="inlineStr"/>
    </row>
    <row r="9">
      <c r="A9" s="14" t="inlineStr">
        <is>
          <t>APF-DPT-01</t>
        </is>
      </c>
      <c r="B9" s="15" t="inlineStr">
        <is>
          <t>CSR Program Management Handbook</t>
        </is>
      </c>
      <c r="C9" s="14" t="inlineStr">
        <is>
          <t>CSR Programs</t>
        </is>
      </c>
      <c r="D9" s="14" t="inlineStr">
        <is>
          <t>CSR</t>
        </is>
      </c>
      <c r="E9" s="14" t="inlineStr">
        <is>
          <t>Department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Dept Head - APF/CSR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SDA-CRS-APF-DPT-01</t>
        </is>
      </c>
      <c r="P9" s="15" t="inlineStr">
        <is>
          <t>SD Academy/07_Aram_Pazhaguvom/03_Department_Handbooks</t>
        </is>
      </c>
      <c r="Q9" s="15" t="inlineStr">
        <is>
          <t>SDG_AramPazhaguvom_CSR_Program_Management_Handbook_L1-L5_V1.0.pdf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Medium</t>
        </is>
      </c>
      <c r="U9" s="16" t="inlineStr">
        <is>
          <t>Wave 4</t>
        </is>
      </c>
      <c r="V9" s="14" t="inlineStr">
        <is>
          <t>Annual</t>
        </is>
      </c>
      <c r="W9" s="17" t="n">
        <v>46478</v>
      </c>
      <c r="X9" s="15" t="inlineStr">
        <is>
          <t>Was CSR Programs Handbook</t>
        </is>
      </c>
    </row>
    <row r="10">
      <c r="A10" s="9" t="inlineStr">
        <is>
          <t>APF-DPT-02</t>
        </is>
      </c>
      <c r="B10" s="10" t="inlineStr">
        <is>
          <t>Plantation Operations Handbook</t>
        </is>
      </c>
      <c r="C10" s="9" t="inlineStr">
        <is>
          <t>Social Projects</t>
        </is>
      </c>
      <c r="D10" s="9" t="inlineStr">
        <is>
          <t>Plantation</t>
        </is>
      </c>
      <c r="E10" s="9" t="inlineStr">
        <is>
          <t>Department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Dept Head - APF/Plantation</t>
        </is>
      </c>
      <c r="I10" s="11" t="inlineStr">
        <is>
          <t>Yes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SDA-CRS-APF-DPT-02</t>
        </is>
      </c>
      <c r="P10" s="10" t="inlineStr">
        <is>
          <t>SD Academy/07_Aram_Pazhaguvom/03_Department_Handbooks</t>
        </is>
      </c>
      <c r="Q10" s="10" t="inlineStr">
        <is>
          <t>SDG_AramPazhaguvom_Plantation_Operations_Handbook_L1-L5_V1.0.pdf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Medium</t>
        </is>
      </c>
      <c r="U10" s="11" t="inlineStr">
        <is>
          <t>Wave 4</t>
        </is>
      </c>
      <c r="V10" s="9" t="inlineStr">
        <is>
          <t>Annual</t>
        </is>
      </c>
      <c r="W10" s="13" t="n">
        <v>46478</v>
      </c>
      <c r="X10" s="10" t="inlineStr"/>
    </row>
    <row r="11">
      <c r="A11" s="14" t="inlineStr">
        <is>
          <t>APF-DPT-03</t>
        </is>
      </c>
      <c r="B11" s="15" t="inlineStr">
        <is>
          <t>Community Development &amp; Outreach Handbook</t>
        </is>
      </c>
      <c r="C11" s="14" t="inlineStr">
        <is>
          <t>Community Outreach</t>
        </is>
      </c>
      <c r="D11" s="14" t="inlineStr">
        <is>
          <t>Community</t>
        </is>
      </c>
      <c r="E11" s="14" t="inlineStr">
        <is>
          <t>Department Handbook</t>
        </is>
      </c>
      <c r="F11" s="16" t="inlineStr">
        <is>
          <t>L1-L5</t>
        </is>
      </c>
      <c r="G11" s="14" t="inlineStr">
        <is>
          <t>Internal</t>
        </is>
      </c>
      <c r="H11" s="14" t="inlineStr">
        <is>
          <t>Dept Head - APF/Community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SDA-CRS-APF-DPT-03</t>
        </is>
      </c>
      <c r="P11" s="15" t="inlineStr">
        <is>
          <t>SD Academy/07_Aram_Pazhaguvom/03_Department_Handbooks</t>
        </is>
      </c>
      <c r="Q11" s="15" t="inlineStr">
        <is>
          <t>SDG_AramPazhaguvom_Community_Development_Outreach_Handbook_L1-L5_V1.0.pdf</t>
        </is>
      </c>
      <c r="R11" s="16" t="n">
        <v>1</v>
      </c>
      <c r="S11" s="14" t="inlineStr">
        <is>
          <t>PDF Final Checked</t>
        </is>
      </c>
      <c r="T11" s="16" t="inlineStr">
        <is>
          <t>Medium</t>
        </is>
      </c>
      <c r="U11" s="16" t="inlineStr">
        <is>
          <t>Wave 4</t>
        </is>
      </c>
      <c r="V11" s="14" t="inlineStr">
        <is>
          <t>Annual</t>
        </is>
      </c>
      <c r="W11" s="17" t="n">
        <v>46478</v>
      </c>
      <c r="X11" s="15" t="inlineStr"/>
    </row>
    <row r="12">
      <c r="A12" s="9" t="inlineStr">
        <is>
          <t>APF-DPT-04</t>
        </is>
      </c>
      <c r="B12" s="10" t="inlineStr">
        <is>
          <t>Volunteer Management Handbook</t>
        </is>
      </c>
      <c r="C12" s="9" t="inlineStr">
        <is>
          <t>Volunteer Management</t>
        </is>
      </c>
      <c r="D12" s="9" t="inlineStr">
        <is>
          <t>Volunteers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APF/Volunteers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SDA-CRS-APF-DPT-04</t>
        </is>
      </c>
      <c r="P12" s="10" t="inlineStr">
        <is>
          <t>SD Academy/07_Aram_Pazhaguvom/03_Department_Handbooks</t>
        </is>
      </c>
      <c r="Q12" s="10" t="inlineStr">
        <is>
          <t>SDG_AramPazhaguvom_Volunteer_Management_Handbook_L1-L5_V1.0.pdf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Medium</t>
        </is>
      </c>
      <c r="U12" s="11" t="inlineStr">
        <is>
          <t>Wave 4</t>
        </is>
      </c>
      <c r="V12" s="9" t="inlineStr">
        <is>
          <t>Annual</t>
        </is>
      </c>
      <c r="W12" s="13" t="n">
        <v>46478</v>
      </c>
      <c r="X12" s="10" t="inlineStr"/>
    </row>
    <row r="13">
      <c r="A13" s="14" t="inlineStr">
        <is>
          <t>APF-DPT-07</t>
        </is>
      </c>
      <c r="B13" s="15" t="inlineStr">
        <is>
          <t>Event and Camp Management Handbook</t>
        </is>
      </c>
      <c r="C13" s="14" t="inlineStr">
        <is>
          <t>Community Outreach</t>
        </is>
      </c>
      <c r="D13" s="14" t="inlineStr">
        <is>
          <t>Events</t>
        </is>
      </c>
      <c r="E13" s="14" t="inlineStr">
        <is>
          <t>Department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Dept Head - APF/Events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SDA-CRS-APF-DPT-07</t>
        </is>
      </c>
      <c r="P13" s="15" t="inlineStr">
        <is>
          <t>SD Academy/07_Aram_Pazhaguvom/03_Department_Handbooks</t>
        </is>
      </c>
      <c r="Q13" s="15" t="inlineStr">
        <is>
          <t>SDG_AramPazhaguvom_Event_and_Camp_Management_Handbook_L1-L5_V1.0.pdf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Medium</t>
        </is>
      </c>
      <c r="U13" s="16" t="inlineStr">
        <is>
          <t>Wave 4</t>
        </is>
      </c>
      <c r="V13" s="14" t="inlineStr">
        <is>
          <t>Annual</t>
        </is>
      </c>
      <c r="W13" s="17" t="n">
        <v>46478</v>
      </c>
      <c r="X13" s="15" t="inlineStr"/>
    </row>
    <row r="14">
      <c r="A14" s="9" t="inlineStr">
        <is>
          <t>APF-DPT-08</t>
        </is>
      </c>
      <c r="B14" s="10" t="inlineStr">
        <is>
          <t>Education Support Program Handbook</t>
        </is>
      </c>
      <c r="C14" s="9" t="inlineStr">
        <is>
          <t>Education Support</t>
        </is>
      </c>
      <c r="D14" s="9" t="inlineStr">
        <is>
          <t>Education</t>
        </is>
      </c>
      <c r="E14" s="9" t="inlineStr">
        <is>
          <t>Department Handbook</t>
        </is>
      </c>
      <c r="F14" s="11" t="inlineStr">
        <is>
          <t>L2-L5</t>
        </is>
      </c>
      <c r="G14" s="9" t="inlineStr">
        <is>
          <t>Internal</t>
        </is>
      </c>
      <c r="H14" s="9" t="inlineStr">
        <is>
          <t>Dept Head - APF/Education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SDA-CRS-APF-DPT-08</t>
        </is>
      </c>
      <c r="P14" s="10" t="inlineStr">
        <is>
          <t>SD Academy/07_Aram_Pazhaguvom/03_Department_Handbooks</t>
        </is>
      </c>
      <c r="Q14" s="10" t="inlineStr">
        <is>
          <t>SDG_AramPazhaguvom_Education_Support_Program_Handbook_L2-L5_V1.0.pdf</t>
        </is>
      </c>
      <c r="R14" s="11" t="n">
        <v>1</v>
      </c>
      <c r="S14" s="9" t="inlineStr">
        <is>
          <t>PDF Final Checked</t>
        </is>
      </c>
      <c r="T14" s="11" t="inlineStr">
        <is>
          <t>Medium</t>
        </is>
      </c>
      <c r="U14" s="11" t="inlineStr">
        <is>
          <t>Wave 4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APF-CMP-01</t>
        </is>
      </c>
      <c r="B15" s="15" t="inlineStr">
        <is>
          <t>NGO Compliance Handbook</t>
        </is>
      </c>
      <c r="C15" s="14" t="inlineStr">
        <is>
          <t>NGO Compliance</t>
        </is>
      </c>
      <c r="D15" s="14" t="inlineStr">
        <is>
          <t>Compliance</t>
        </is>
      </c>
      <c r="E15" s="14" t="inlineStr">
        <is>
          <t>Compliance Handbook</t>
        </is>
      </c>
      <c r="F15" s="16" t="inlineStr">
        <is>
          <t>L3-L5</t>
        </is>
      </c>
      <c r="G15" s="14" t="inlineStr">
        <is>
          <t>Internal</t>
        </is>
      </c>
      <c r="H15" s="14" t="inlineStr">
        <is>
          <t>Dept Head - APF/Compliance</t>
        </is>
      </c>
      <c r="I15" s="16" t="inlineStr">
        <is>
          <t>Yes</t>
        </is>
      </c>
      <c r="J15" s="12" t="inlineStr">
        <is>
          <t>Yes</t>
        </is>
      </c>
      <c r="K15" s="16" t="inlineStr">
        <is>
          <t>Yes</t>
        </is>
      </c>
      <c r="L15" s="16" t="inlineStr">
        <is>
          <t>Yes</t>
        </is>
      </c>
      <c r="M15" s="18" t="inlineStr">
        <is>
          <t>Yes</t>
        </is>
      </c>
      <c r="N15" s="16" t="n">
        <v>80</v>
      </c>
      <c r="O15" s="14" t="inlineStr">
        <is>
          <t>SDA-CRS-APF-CMP-01</t>
        </is>
      </c>
      <c r="P15" s="15" t="inlineStr">
        <is>
          <t>SD Academy/07_Aram_Pazhaguvom/05_Compliance_Handbooks</t>
        </is>
      </c>
      <c r="Q15" s="15" t="inlineStr">
        <is>
          <t>SDG_AramPazhaguvom_NGO_Compliance_Handbook_L3-L5_V1.0.pdf</t>
        </is>
      </c>
      <c r="R15" s="16" t="n">
        <v>1</v>
      </c>
      <c r="S15" s="14" t="inlineStr">
        <is>
          <t>PDF Final Checked</t>
        </is>
      </c>
      <c r="T15" s="16" t="inlineStr">
        <is>
          <t>Medium</t>
        </is>
      </c>
      <c r="U15" s="16" t="inlineStr">
        <is>
          <t>Wave 5</t>
        </is>
      </c>
      <c r="V15" s="14" t="inlineStr">
        <is>
          <t>Annual + on law change</t>
        </is>
      </c>
      <c r="W15" s="17" t="n">
        <v>46478</v>
      </c>
      <c r="X15" s="15" t="inlineStr">
        <is>
          <t>12A/80G/FCRA/CSR-1 obligations</t>
        </is>
      </c>
    </row>
    <row r="16">
      <c r="A16" s="9" t="inlineStr">
        <is>
          <t>APF-CMP-02</t>
        </is>
      </c>
      <c r="B16" s="10" t="inlineStr">
        <is>
          <t>Beneficiary Data Privacy Handbook</t>
        </is>
      </c>
      <c r="C16" s="9" t="inlineStr">
        <is>
          <t>NGO Compliance</t>
        </is>
      </c>
      <c r="D16" s="9" t="inlineStr">
        <is>
          <t>Compliance</t>
        </is>
      </c>
      <c r="E16" s="9" t="inlineStr">
        <is>
          <t>Compliance Handbook</t>
        </is>
      </c>
      <c r="F16" s="11" t="inlineStr">
        <is>
          <t>L2-L5</t>
        </is>
      </c>
      <c r="G16" s="9" t="inlineStr">
        <is>
          <t>Internal</t>
        </is>
      </c>
      <c r="H16" s="9" t="inlineStr">
        <is>
          <t>Dept Head - APF/Compliance</t>
        </is>
      </c>
      <c r="I16" s="11" t="inlineStr">
        <is>
          <t>Yes</t>
        </is>
      </c>
      <c r="J16" s="12" t="inlineStr">
        <is>
          <t>Yes</t>
        </is>
      </c>
      <c r="K16" s="11" t="inlineStr">
        <is>
          <t>Yes</t>
        </is>
      </c>
      <c r="L16" s="11" t="inlineStr">
        <is>
          <t>Yes</t>
        </is>
      </c>
      <c r="M16" s="18" t="inlineStr">
        <is>
          <t>Yes</t>
        </is>
      </c>
      <c r="N16" s="11" t="n">
        <v>80</v>
      </c>
      <c r="O16" s="9" t="inlineStr">
        <is>
          <t>SDA-CRS-APF-CMP-02</t>
        </is>
      </c>
      <c r="P16" s="10" t="inlineStr">
        <is>
          <t>SD Academy/07_Aram_Pazhaguvom/05_Compliance_Handbooks</t>
        </is>
      </c>
      <c r="Q16" s="10" t="inlineStr">
        <is>
          <t>SDG_AramPazhaguvom_Beneficiary_Data_Privacy_Handbook_L2-L5_V1.0.pdf</t>
        </is>
      </c>
      <c r="R16" s="11" t="n">
        <v>1</v>
      </c>
      <c r="S16" s="9" t="inlineStr">
        <is>
          <t>PDF Final Checked</t>
        </is>
      </c>
      <c r="T16" s="11" t="inlineStr">
        <is>
          <t>Medium</t>
        </is>
      </c>
      <c r="U16" s="11" t="inlineStr">
        <is>
          <t>Wave 5</t>
        </is>
      </c>
      <c r="V16" s="9" t="inlineStr">
        <is>
          <t>Annual + on law change</t>
        </is>
      </c>
      <c r="W16" s="13" t="n">
        <v>46478</v>
      </c>
      <c r="X16" s="10" t="inlineStr">
        <is>
          <t>DPDP for beneficiary records</t>
        </is>
      </c>
    </row>
    <row r="17">
      <c r="A17" s="14" t="inlineStr">
        <is>
          <t>APF-DPT-10</t>
        </is>
      </c>
      <c r="B17" s="15" t="inlineStr">
        <is>
          <t>Accounts Handbook</t>
        </is>
      </c>
      <c r="C17" s="14" t="inlineStr">
        <is>
          <t>Shared Foundation Operations</t>
        </is>
      </c>
      <c r="D17" s="14" t="inlineStr">
        <is>
          <t>Accounts</t>
        </is>
      </c>
      <c r="E17" s="14" t="inlineStr">
        <is>
          <t>Department Handbook</t>
        </is>
      </c>
      <c r="F17" s="16" t="inlineStr">
        <is>
          <t>L2-L5</t>
        </is>
      </c>
      <c r="G17" s="14" t="inlineStr">
        <is>
          <t>Internal</t>
        </is>
      </c>
      <c r="H17" s="14" t="inlineStr">
        <is>
          <t>Dept Head - APF/Accounts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SDA-CRS-APF-DPT-10</t>
        </is>
      </c>
      <c r="P17" s="15" t="inlineStr">
        <is>
          <t>SD Academy/07_Aram_Pazhaguvom/03_Department_Handbooks</t>
        </is>
      </c>
      <c r="Q17" s="15" t="inlineStr">
        <is>
          <t>SDG_AramPazhaguvom_Accounts_Handbook_L2-L5_V1.0.pdf</t>
        </is>
      </c>
      <c r="R17" s="16" t="n">
        <v>1</v>
      </c>
      <c r="S17" s="14" t="inlineStr">
        <is>
          <t>PDF Final Checked</t>
        </is>
      </c>
      <c r="T17" s="16" t="inlineStr">
        <is>
          <t>Medium</t>
        </is>
      </c>
      <c r="U17" s="16" t="inlineStr">
        <is>
          <t>Wave 5</t>
        </is>
      </c>
      <c r="V17" s="14" t="inlineStr">
        <is>
          <t>Annual</t>
        </is>
      </c>
      <c r="W17" s="17" t="n">
        <v>46478</v>
      </c>
      <c r="X17" s="15" t="inlineStr">
        <is>
          <t>With Finance book satisfies Accounts &amp; Finance for Foundation</t>
        </is>
      </c>
    </row>
    <row r="18">
      <c r="A18" s="9" t="inlineStr">
        <is>
          <t>APF-DPT-11</t>
        </is>
      </c>
      <c r="B18" s="10" t="inlineStr">
        <is>
          <t>Finance Handbook</t>
        </is>
      </c>
      <c r="C18" s="9" t="inlineStr">
        <is>
          <t>Shared Foundation Operations</t>
        </is>
      </c>
      <c r="D18" s="9" t="inlineStr">
        <is>
          <t>Finance</t>
        </is>
      </c>
      <c r="E18" s="9" t="inlineStr">
        <is>
          <t>Department Handbook</t>
        </is>
      </c>
      <c r="F18" s="11" t="inlineStr">
        <is>
          <t>L2-L5</t>
        </is>
      </c>
      <c r="G18" s="9" t="inlineStr">
        <is>
          <t>Internal</t>
        </is>
      </c>
      <c r="H18" s="9" t="inlineStr">
        <is>
          <t>Dept Head - APF/Finance</t>
        </is>
      </c>
      <c r="I18" s="11" t="inlineStr">
        <is>
          <t>Yes</t>
        </is>
      </c>
      <c r="J18" s="12" t="inlineStr">
        <is>
          <t>Yes</t>
        </is>
      </c>
      <c r="K18" s="11" t="inlineStr">
        <is>
          <t>Yes</t>
        </is>
      </c>
      <c r="L18" s="11" t="inlineStr">
        <is>
          <t>Yes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SDA-CRS-APF-DPT-11</t>
        </is>
      </c>
      <c r="P18" s="10" t="inlineStr">
        <is>
          <t>SD Academy/07_Aram_Pazhaguvom/03_Department_Handbooks</t>
        </is>
      </c>
      <c r="Q18" s="10" t="inlineStr">
        <is>
          <t>SDG_AramPazhaguvom_Finance_Handbook_L2-L5_V1.0.pdf</t>
        </is>
      </c>
      <c r="R18" s="11" t="n">
        <v>1</v>
      </c>
      <c r="S18" s="9" t="inlineStr">
        <is>
          <t>PDF Final Checked</t>
        </is>
      </c>
      <c r="T18" s="11" t="inlineStr">
        <is>
          <t>Medium</t>
        </is>
      </c>
      <c r="U18" s="11" t="inlineStr">
        <is>
          <t>Wave 5</t>
        </is>
      </c>
      <c r="V18" s="9" t="inlineStr">
        <is>
          <t>Annual + on law change</t>
        </is>
      </c>
      <c r="W18" s="13" t="n">
        <v>46478</v>
      </c>
      <c r="X18" s="10" t="inlineStr"/>
    </row>
    <row r="19">
      <c r="A19" s="14" t="inlineStr">
        <is>
          <t>APF-DPT-12</t>
        </is>
      </c>
      <c r="B19" s="15" t="inlineStr">
        <is>
          <t>HR &amp; Volunteer Conduct Handbook</t>
        </is>
      </c>
      <c r="C19" s="14" t="inlineStr">
        <is>
          <t>Shared Foundation Operations</t>
        </is>
      </c>
      <c r="D19" s="14" t="inlineStr">
        <is>
          <t>HR</t>
        </is>
      </c>
      <c r="E19" s="14" t="inlineStr">
        <is>
          <t>Department Handbook</t>
        </is>
      </c>
      <c r="F19" s="16" t="inlineStr">
        <is>
          <t>L1-L5</t>
        </is>
      </c>
      <c r="G19" s="14" t="inlineStr">
        <is>
          <t>Internal</t>
        </is>
      </c>
      <c r="H19" s="14" t="inlineStr">
        <is>
          <t>Dept Head - APF/HR</t>
        </is>
      </c>
      <c r="I19" s="16" t="inlineStr">
        <is>
          <t>Yes</t>
        </is>
      </c>
      <c r="J19" s="16" t="inlineStr">
        <is>
          <t>No</t>
        </is>
      </c>
      <c r="K19" s="16" t="inlineStr">
        <is>
          <t>Yes</t>
        </is>
      </c>
      <c r="L19" s="16" t="inlineStr">
        <is>
          <t>Yes</t>
        </is>
      </c>
      <c r="M19" s="16" t="inlineStr">
        <is>
          <t>No</t>
        </is>
      </c>
      <c r="N19" s="16" t="inlineStr">
        <is>
          <t>-</t>
        </is>
      </c>
      <c r="O19" s="14" t="inlineStr">
        <is>
          <t>SDA-CRS-APF-DPT-12</t>
        </is>
      </c>
      <c r="P19" s="15" t="inlineStr">
        <is>
          <t>SD Academy/07_Aram_Pazhaguvom/03_Department_Handbooks</t>
        </is>
      </c>
      <c r="Q19" s="15" t="inlineStr">
        <is>
          <t>SDG_AramPazhaguvom_HR_Volunteer_Conduct_Handbook_L1-L5_V1.0.pdf</t>
        </is>
      </c>
      <c r="R19" s="16" t="n">
        <v>1</v>
      </c>
      <c r="S19" s="14" t="inlineStr">
        <is>
          <t>PDF Final Checked</t>
        </is>
      </c>
      <c r="T19" s="16" t="inlineStr">
        <is>
          <t>Medium</t>
        </is>
      </c>
      <c r="U19" s="16" t="inlineStr">
        <is>
          <t>Wave 5</t>
        </is>
      </c>
      <c r="V19" s="14" t="inlineStr">
        <is>
          <t>Annual</t>
        </is>
      </c>
      <c r="W19" s="17" t="n">
        <v>46478</v>
      </c>
      <c r="X19" s="15" t="inlineStr">
        <is>
          <t>Was HR Handbook</t>
        </is>
      </c>
    </row>
    <row r="20">
      <c r="A20" s="9" t="inlineStr">
        <is>
          <t>APF-DPT-13</t>
        </is>
      </c>
      <c r="B20" s="10" t="inlineStr">
        <is>
          <t>Admin Handbook</t>
        </is>
      </c>
      <c r="C20" s="9" t="inlineStr">
        <is>
          <t>Shared Foundation Operations</t>
        </is>
      </c>
      <c r="D20" s="9" t="inlineStr">
        <is>
          <t>Admin</t>
        </is>
      </c>
      <c r="E20" s="9" t="inlineStr">
        <is>
          <t>Department Handbook</t>
        </is>
      </c>
      <c r="F20" s="11" t="inlineStr">
        <is>
          <t>L2-L5</t>
        </is>
      </c>
      <c r="G20" s="9" t="inlineStr">
        <is>
          <t>Internal</t>
        </is>
      </c>
      <c r="H20" s="9" t="inlineStr">
        <is>
          <t>Dept Head - APF/Admin</t>
        </is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  <c r="L20" s="11" t="inlineStr">
        <is>
          <t>Yes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SDA-CRS-APF-DPT-13</t>
        </is>
      </c>
      <c r="P20" s="10" t="inlineStr">
        <is>
          <t>SD Academy/07_Aram_Pazhaguvom/03_Department_Handbooks</t>
        </is>
      </c>
      <c r="Q20" s="10" t="inlineStr">
        <is>
          <t>SDG_AramPazhaguvom_Admin_Handbook_L2-L5_V1.0.pdf</t>
        </is>
      </c>
      <c r="R20" s="11" t="n">
        <v>1</v>
      </c>
      <c r="S20" s="9" t="inlineStr">
        <is>
          <t>PDF Final Checked</t>
        </is>
      </c>
      <c r="T20" s="11" t="inlineStr">
        <is>
          <t>Medium</t>
        </is>
      </c>
      <c r="U20" s="11" t="inlineStr">
        <is>
          <t>Wave 5</t>
        </is>
      </c>
      <c r="V20" s="9" t="inlineStr">
        <is>
          <t>Annual</t>
        </is>
      </c>
      <c r="W20" s="13" t="n">
        <v>46478</v>
      </c>
      <c r="X20" s="10" t="inlineStr"/>
    </row>
    <row r="21">
      <c r="A21" s="14" t="inlineStr">
        <is>
          <t>APF-DPT-14</t>
        </is>
      </c>
      <c r="B21" s="15" t="inlineStr">
        <is>
          <t>IT Handbook</t>
        </is>
      </c>
      <c r="C21" s="14" t="inlineStr">
        <is>
          <t>Shared Foundation Operations</t>
        </is>
      </c>
      <c r="D21" s="14" t="inlineStr">
        <is>
          <t>IT</t>
        </is>
      </c>
      <c r="E21" s="14" t="inlineStr">
        <is>
          <t>Department Handbook</t>
        </is>
      </c>
      <c r="F21" s="16" t="inlineStr">
        <is>
          <t>L2-L5</t>
        </is>
      </c>
      <c r="G21" s="14" t="inlineStr">
        <is>
          <t>Internal</t>
        </is>
      </c>
      <c r="H21" s="14" t="inlineStr">
        <is>
          <t>Dept Head - APF/IT</t>
        </is>
      </c>
      <c r="I21" s="16" t="inlineStr">
        <is>
          <t>Yes</t>
        </is>
      </c>
      <c r="J21" s="16" t="inlineStr">
        <is>
          <t>No</t>
        </is>
      </c>
      <c r="K21" s="16" t="inlineStr">
        <is>
          <t>Yes</t>
        </is>
      </c>
      <c r="L21" s="16" t="inlineStr">
        <is>
          <t>Yes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SDA-CRS-APF-DPT-14</t>
        </is>
      </c>
      <c r="P21" s="15" t="inlineStr">
        <is>
          <t>SD Academy/07_Aram_Pazhaguvom/03_Department_Handbooks</t>
        </is>
      </c>
      <c r="Q21" s="15" t="inlineStr">
        <is>
          <t>SDG_AramPazhaguvom_IT_Handbook_L2-L5_V1.0.pdf</t>
        </is>
      </c>
      <c r="R21" s="16" t="n">
        <v>1</v>
      </c>
      <c r="S21" s="14" t="inlineStr">
        <is>
          <t>PDF Final Checked</t>
        </is>
      </c>
      <c r="T21" s="16" t="inlineStr">
        <is>
          <t>Medium</t>
        </is>
      </c>
      <c r="U21" s="16" t="inlineStr">
        <is>
          <t>Wave 5</t>
        </is>
      </c>
      <c r="V21" s="14" t="inlineStr">
        <is>
          <t>Annual</t>
        </is>
      </c>
      <c r="W21" s="17" t="n">
        <v>46478</v>
      </c>
      <c r="X21" s="15" t="inlineStr"/>
    </row>
    <row r="22">
      <c r="A22" s="9" t="inlineStr">
        <is>
          <t>APF-SOP-01</t>
        </is>
      </c>
      <c r="B22" s="10" t="inlineStr">
        <is>
          <t>Fund Utilisation and Documentation Handbook</t>
        </is>
      </c>
      <c r="C22" s="9" t="inlineStr">
        <is>
          <t>NGO Compliance</t>
        </is>
      </c>
      <c r="D22" s="9" t="inlineStr">
        <is>
          <t>Documentation</t>
        </is>
      </c>
      <c r="E22" s="9" t="inlineStr">
        <is>
          <t>SOP Handbook</t>
        </is>
      </c>
      <c r="F22" s="11" t="inlineStr">
        <is>
          <t>L2-L5</t>
        </is>
      </c>
      <c r="G22" s="9" t="inlineStr">
        <is>
          <t>Internal</t>
        </is>
      </c>
      <c r="H22" s="9" t="inlineStr">
        <is>
          <t>Dept Head - APF/Documentation</t>
        </is>
      </c>
      <c r="I22" s="11" t="inlineStr">
        <is>
          <t>Yes</t>
        </is>
      </c>
      <c r="J22" s="12" t="inlineStr">
        <is>
          <t>Yes</t>
        </is>
      </c>
      <c r="K22" s="11" t="inlineStr">
        <is>
          <t>Yes</t>
        </is>
      </c>
      <c r="L22" s="11" t="inlineStr">
        <is>
          <t>No</t>
        </is>
      </c>
      <c r="M22" s="11" t="inlineStr">
        <is>
          <t>No</t>
        </is>
      </c>
      <c r="N22" s="11" t="inlineStr">
        <is>
          <t>-</t>
        </is>
      </c>
      <c r="O22" s="9" t="inlineStr">
        <is>
          <t>SDA-CRS-APF-SOP-01</t>
        </is>
      </c>
      <c r="P22" s="10" t="inlineStr">
        <is>
          <t>SD Academy/07_Aram_Pazhaguvom/04_SOP_Handbooks</t>
        </is>
      </c>
      <c r="Q22" s="10" t="inlineStr">
        <is>
          <t>SDG_AramPazhaguvom_Fund_Utilisation_and_Documentation_Handbook_L2-L5_V1.0.pdf</t>
        </is>
      </c>
      <c r="R22" s="11" t="n">
        <v>1</v>
      </c>
      <c r="S22" s="9" t="inlineStr">
        <is>
          <t>PDF Final Checked</t>
        </is>
      </c>
      <c r="T22" s="11" t="inlineStr">
        <is>
          <t>Medium</t>
        </is>
      </c>
      <c r="U22" s="11" t="inlineStr">
        <is>
          <t>Wave 5</t>
        </is>
      </c>
      <c r="V22" s="9" t="inlineStr">
        <is>
          <t>Annual + on law change</t>
        </is>
      </c>
      <c r="W22" s="13" t="n">
        <v>46478</v>
      </c>
      <c r="X22" s="10" t="inlineStr">
        <is>
          <t>Was Documentation Handbook; FCRA-sensitive utilisation records</t>
        </is>
      </c>
    </row>
    <row r="23">
      <c r="A23" s="14" t="inlineStr">
        <is>
          <t>APF-LDR-01</t>
        </is>
      </c>
      <c r="B23" s="15" t="inlineStr">
        <is>
          <t>Aram Pazhaguvom Leadership Handbook</t>
        </is>
      </c>
      <c r="C23" s="14" t="inlineStr">
        <is>
          <t>Shared Foundation Operations</t>
        </is>
      </c>
      <c r="D23" s="14" t="inlineStr">
        <is>
          <t>Leadership</t>
        </is>
      </c>
      <c r="E23" s="14" t="inlineStr">
        <is>
          <t>Leadership Handbook</t>
        </is>
      </c>
      <c r="F23" s="16" t="inlineStr">
        <is>
          <t>L4-L5</t>
        </is>
      </c>
      <c r="G23" s="14" t="inlineStr">
        <is>
          <t>Restricted</t>
        </is>
      </c>
      <c r="H23" s="14" t="inlineStr">
        <is>
          <t>Brand Head - Shared Foundation Operations</t>
        </is>
      </c>
      <c r="I23" s="16" t="inlineStr">
        <is>
          <t>Yes</t>
        </is>
      </c>
      <c r="J23" s="16" t="inlineStr">
        <is>
          <t>No</t>
        </is>
      </c>
      <c r="K23" s="16" t="inlineStr">
        <is>
          <t>Yes</t>
        </is>
      </c>
      <c r="L23" s="16" t="inlineStr">
        <is>
          <t>Yes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SDA-CRS-APF-LDR-01</t>
        </is>
      </c>
      <c r="P23" s="15" t="inlineStr">
        <is>
          <t>SD Academy/07_Aram_Pazhaguvom/06_Management_Handbooks</t>
        </is>
      </c>
      <c r="Q23" s="15" t="inlineStr">
        <is>
          <t>SDG_AramPazhaguvom_Leadership_Handbook_L4-L5_V1.0.pdf</t>
        </is>
      </c>
      <c r="R23" s="16" t="n">
        <v>1</v>
      </c>
      <c r="S23" s="14" t="inlineStr">
        <is>
          <t>PDF Final Checked</t>
        </is>
      </c>
      <c r="T23" s="16" t="inlineStr">
        <is>
          <t>High</t>
        </is>
      </c>
      <c r="U23" s="16" t="inlineStr">
        <is>
          <t>Wave 6</t>
        </is>
      </c>
      <c r="V23" s="14" t="inlineStr">
        <is>
          <t>Annual</t>
        </is>
      </c>
      <c r="W23" s="17" t="n">
        <v>46478</v>
      </c>
      <c r="X23" s="15" t="inlineStr"/>
    </row>
    <row r="24">
      <c r="A24" s="9" t="inlineStr">
        <is>
          <t>APF-MGT-01</t>
        </is>
      </c>
      <c r="B24" s="10" t="inlineStr">
        <is>
          <t>Aram Pazhaguvom Management Handbook</t>
        </is>
      </c>
      <c r="C24" s="9" t="inlineStr">
        <is>
          <t>Shared Foundation Operations</t>
        </is>
      </c>
      <c r="D24" s="9" t="inlineStr">
        <is>
          <t>Management</t>
        </is>
      </c>
      <c r="E24" s="9" t="inlineStr">
        <is>
          <t>Management Handbook</t>
        </is>
      </c>
      <c r="F24" s="11" t="inlineStr">
        <is>
          <t>L4-L5</t>
        </is>
      </c>
      <c r="G24" s="9" t="inlineStr">
        <is>
          <t>Restricted</t>
        </is>
      </c>
      <c r="H24" s="9" t="inlineStr">
        <is>
          <t>Brand Head - Shared Foundation Operations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Yes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SDA-CRS-APF-MGT-01</t>
        </is>
      </c>
      <c r="P24" s="10" t="inlineStr">
        <is>
          <t>SD Academy/07_Aram_Pazhaguvom/06_Management_Handbooks</t>
        </is>
      </c>
      <c r="Q24" s="10" t="inlineStr">
        <is>
          <t>SDG_AramPazhaguvom_Management_Handbook_L4-L5_V1.0.pdf</t>
        </is>
      </c>
      <c r="R24" s="11" t="n">
        <v>1</v>
      </c>
      <c r="S24" s="9" t="inlineStr">
        <is>
          <t>PDF Final Checked</t>
        </is>
      </c>
      <c r="T24" s="11" t="inlineStr">
        <is>
          <t>High</t>
        </is>
      </c>
      <c r="U24" s="11" t="inlineStr">
        <is>
          <t>Wave 6</t>
        </is>
      </c>
      <c r="V24" s="9" t="inlineStr">
        <is>
          <t>Annual</t>
        </is>
      </c>
      <c r="W24" s="13" t="n">
        <v>46478</v>
      </c>
      <c r="X24" s="10" t="inlineStr"/>
    </row>
    <row r="25">
      <c r="A25" s="14" t="inlineStr">
        <is>
          <t>APF-DPT-09</t>
        </is>
      </c>
      <c r="B25" s="15" t="inlineStr">
        <is>
          <t>Social Impact Reporting Handbook</t>
        </is>
      </c>
      <c r="C25" s="14" t="inlineStr">
        <is>
          <t>NGO Compliance</t>
        </is>
      </c>
      <c r="D25" s="14" t="inlineStr">
        <is>
          <t>Reporting</t>
        </is>
      </c>
      <c r="E25" s="14" t="inlineStr">
        <is>
          <t>Department Handbook</t>
        </is>
      </c>
      <c r="F25" s="16" t="inlineStr">
        <is>
          <t>L3-L5</t>
        </is>
      </c>
      <c r="G25" s="14" t="inlineStr">
        <is>
          <t>Internal</t>
        </is>
      </c>
      <c r="H25" s="14" t="inlineStr">
        <is>
          <t>Dept Head - APF/Reporting</t>
        </is>
      </c>
      <c r="I25" s="16" t="inlineStr">
        <is>
          <t>Yes</t>
        </is>
      </c>
      <c r="J25" s="16" t="inlineStr">
        <is>
          <t>No</t>
        </is>
      </c>
      <c r="K25" s="16" t="inlineStr">
        <is>
          <t>Yes</t>
        </is>
      </c>
      <c r="L25" s="16" t="inlineStr">
        <is>
          <t>Yes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SDA-CRS-APF-DPT-09</t>
        </is>
      </c>
      <c r="P25" s="15" t="inlineStr">
        <is>
          <t>SD Academy/07_Aram_Pazhaguvom/03_Department_Handbooks</t>
        </is>
      </c>
      <c r="Q25" s="15" t="inlineStr">
        <is>
          <t>SDG_AramPazhaguvom_Social_Impact_Reporting_Handbook_L3-L5_V1.0.pdf</t>
        </is>
      </c>
      <c r="R25" s="16" t="n">
        <v>1</v>
      </c>
      <c r="S25" s="14" t="inlineStr">
        <is>
          <t>PDF Final Checked</t>
        </is>
      </c>
      <c r="T25" s="16" t="inlineStr">
        <is>
          <t>Medium</t>
        </is>
      </c>
      <c r="U25" s="16" t="inlineStr">
        <is>
          <t>Wave 7</t>
        </is>
      </c>
      <c r="V25" s="14" t="inlineStr">
        <is>
          <t>Annual</t>
        </is>
      </c>
      <c r="W25" s="17" t="n">
        <v>46478</v>
      </c>
      <c r="X25" s="15" t="inlineStr">
        <is>
          <t>Impact metrics and donor reporting</t>
        </is>
      </c>
    </row>
  </sheetData>
  <autoFilter ref="A5:X25"/>
  <dataValidations count="1">
    <dataValidation sqref="S6:S25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ARAM PAZHAGUVOM FOUNDATION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APF-BRD-01</t>
        </is>
      </c>
      <c r="B6" s="20" t="inlineStr">
        <is>
          <t>Aram Pazhaguvom Foundation Handbook</t>
        </is>
      </c>
      <c r="C6" s="19" t="inlineStr">
        <is>
          <t>All Divisions</t>
        </is>
      </c>
      <c r="D6" s="19" t="inlineStr">
        <is>
          <t>Foundation-wide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APF-DPT-01</t>
        </is>
      </c>
      <c r="B7" s="20" t="inlineStr">
        <is>
          <t>CSR Program Management Handbook</t>
        </is>
      </c>
      <c r="C7" s="19" t="inlineStr">
        <is>
          <t>CSR Programs</t>
        </is>
      </c>
      <c r="D7" s="19" t="inlineStr">
        <is>
          <t>CSR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APF-DPT-02</t>
        </is>
      </c>
      <c r="B8" s="20" t="inlineStr">
        <is>
          <t>Plantation Operations Handbook</t>
        </is>
      </c>
      <c r="C8" s="19" t="inlineStr">
        <is>
          <t>Social Projects</t>
        </is>
      </c>
      <c r="D8" s="19" t="inlineStr">
        <is>
          <t>Plantation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APF-DPT-03</t>
        </is>
      </c>
      <c r="B9" s="20" t="inlineStr">
        <is>
          <t>Community Development &amp; Outreach Handbook</t>
        </is>
      </c>
      <c r="C9" s="19" t="inlineStr">
        <is>
          <t>Community Outreach</t>
        </is>
      </c>
      <c r="D9" s="19" t="inlineStr">
        <is>
          <t>Community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APF-DPT-04</t>
        </is>
      </c>
      <c r="B10" s="20" t="inlineStr">
        <is>
          <t>Volunteer Management Handbook</t>
        </is>
      </c>
      <c r="C10" s="19" t="inlineStr">
        <is>
          <t>Volunteer Management</t>
        </is>
      </c>
      <c r="D10" s="19" t="inlineStr">
        <is>
          <t>Volunteers</t>
        </is>
      </c>
      <c r="E10" s="19" t="inlineStr">
        <is>
          <t>Department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APF-DPT-07</t>
        </is>
      </c>
      <c r="B11" s="20" t="inlineStr">
        <is>
          <t>Event and Camp Management Handbook</t>
        </is>
      </c>
      <c r="C11" s="19" t="inlineStr">
        <is>
          <t>Community Outreach</t>
        </is>
      </c>
      <c r="D11" s="19" t="inlineStr">
        <is>
          <t>Events</t>
        </is>
      </c>
      <c r="E11" s="19" t="inlineStr">
        <is>
          <t>Department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APF-DPT-12</t>
        </is>
      </c>
      <c r="B12" s="20" t="inlineStr">
        <is>
          <t>HR &amp; Volunteer Conduct Handbook</t>
        </is>
      </c>
      <c r="C12" s="19" t="inlineStr">
        <is>
          <t>Shared Foundation Operations</t>
        </is>
      </c>
      <c r="D12" s="19" t="inlineStr">
        <is>
          <t>HR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APF-CMP-02</t>
        </is>
      </c>
      <c r="B13" s="20" t="inlineStr">
        <is>
          <t>Beneficiary Data Privacy Handbook</t>
        </is>
      </c>
      <c r="C13" s="19" t="inlineStr">
        <is>
          <t>NGO Compliance</t>
        </is>
      </c>
      <c r="D13" s="19" t="inlineStr">
        <is>
          <t>Compliance</t>
        </is>
      </c>
      <c r="E13" s="19" t="inlineStr">
        <is>
          <t>Compliance Handbook</t>
        </is>
      </c>
      <c r="F13" s="19" t="inlineStr">
        <is>
          <t>L2-L5</t>
        </is>
      </c>
      <c r="G13" s="21" t="inlineStr">
        <is>
          <t>L2</t>
        </is>
      </c>
      <c r="H13" s="23" t="inlineStr">
        <is>
          <t>-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APF-DPT-05</t>
        </is>
      </c>
      <c r="B14" s="20" t="inlineStr">
        <is>
          <t>Fundraising &amp; Donor / Sponsor Coordination Handbook</t>
        </is>
      </c>
      <c r="C14" s="19" t="inlineStr">
        <is>
          <t>Donor / Sponsor Coordination</t>
        </is>
      </c>
      <c r="D14" s="19" t="inlineStr">
        <is>
          <t>Fundraising</t>
        </is>
      </c>
      <c r="E14" s="19" t="inlineStr">
        <is>
          <t>Department Handbook</t>
        </is>
      </c>
      <c r="F14" s="19" t="inlineStr">
        <is>
          <t>L2-L5</t>
        </is>
      </c>
      <c r="G14" s="21" t="inlineStr">
        <is>
          <t>L2</t>
        </is>
      </c>
      <c r="H14" s="23" t="inlineStr">
        <is>
          <t>-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APF-DPT-06</t>
        </is>
      </c>
      <c r="B15" s="20" t="inlineStr">
        <is>
          <t>Partnerships Handbook</t>
        </is>
      </c>
      <c r="C15" s="19" t="inlineStr">
        <is>
          <t>Donor / Sponsor Coordination</t>
        </is>
      </c>
      <c r="D15" s="19" t="inlineStr">
        <is>
          <t>Partnerships</t>
        </is>
      </c>
      <c r="E15" s="19" t="inlineStr">
        <is>
          <t>Department Handbook</t>
        </is>
      </c>
      <c r="F15" s="19" t="inlineStr">
        <is>
          <t>L2-L5</t>
        </is>
      </c>
      <c r="G15" s="21" t="inlineStr">
        <is>
          <t>L2</t>
        </is>
      </c>
      <c r="H15" s="23" t="inlineStr">
        <is>
          <t>-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APF-DPT-08</t>
        </is>
      </c>
      <c r="B16" s="20" t="inlineStr">
        <is>
          <t>Education Support Program Handbook</t>
        </is>
      </c>
      <c r="C16" s="19" t="inlineStr">
        <is>
          <t>Education Support</t>
        </is>
      </c>
      <c r="D16" s="19" t="inlineStr">
        <is>
          <t>Education</t>
        </is>
      </c>
      <c r="E16" s="19" t="inlineStr">
        <is>
          <t>Department Handbook</t>
        </is>
      </c>
      <c r="F16" s="19" t="inlineStr">
        <is>
          <t>L2-L5</t>
        </is>
      </c>
      <c r="G16" s="21" t="inlineStr">
        <is>
          <t>L2</t>
        </is>
      </c>
      <c r="H16" s="23" t="inlineStr">
        <is>
          <t>-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APF-DPT-10</t>
        </is>
      </c>
      <c r="B17" s="20" t="inlineStr">
        <is>
          <t>Accounts Handbook</t>
        </is>
      </c>
      <c r="C17" s="19" t="inlineStr">
        <is>
          <t>Shared Foundation Operations</t>
        </is>
      </c>
      <c r="D17" s="19" t="inlineStr">
        <is>
          <t>Accounts</t>
        </is>
      </c>
      <c r="E17" s="19" t="inlineStr">
        <is>
          <t>Department Handbook</t>
        </is>
      </c>
      <c r="F17" s="19" t="inlineStr">
        <is>
          <t>L2-L5</t>
        </is>
      </c>
      <c r="G17" s="21" t="inlineStr">
        <is>
          <t>L2</t>
        </is>
      </c>
      <c r="H17" s="23" t="inlineStr">
        <is>
          <t>-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APF-DPT-11</t>
        </is>
      </c>
      <c r="B18" s="20" t="inlineStr">
        <is>
          <t>Finance Handbook</t>
        </is>
      </c>
      <c r="C18" s="19" t="inlineStr">
        <is>
          <t>Shared Foundation Operations</t>
        </is>
      </c>
      <c r="D18" s="19" t="inlineStr">
        <is>
          <t>Finance</t>
        </is>
      </c>
      <c r="E18" s="19" t="inlineStr">
        <is>
          <t>Department Handbook</t>
        </is>
      </c>
      <c r="F18" s="19" t="inlineStr">
        <is>
          <t>L2-L5</t>
        </is>
      </c>
      <c r="G18" s="21" t="inlineStr">
        <is>
          <t>L2</t>
        </is>
      </c>
      <c r="H18" s="23" t="inlineStr">
        <is>
          <t>-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APF-DPT-13</t>
        </is>
      </c>
      <c r="B19" s="20" t="inlineStr">
        <is>
          <t>Admin Handbook</t>
        </is>
      </c>
      <c r="C19" s="19" t="inlineStr">
        <is>
          <t>Shared Foundation Operations</t>
        </is>
      </c>
      <c r="D19" s="19" t="inlineStr">
        <is>
          <t>Admin</t>
        </is>
      </c>
      <c r="E19" s="19" t="inlineStr">
        <is>
          <t>Department Handbook</t>
        </is>
      </c>
      <c r="F19" s="19" t="inlineStr">
        <is>
          <t>L2-L5</t>
        </is>
      </c>
      <c r="G19" s="21" t="inlineStr">
        <is>
          <t>L2</t>
        </is>
      </c>
      <c r="H19" s="23" t="inlineStr">
        <is>
          <t>-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APF-DPT-14</t>
        </is>
      </c>
      <c r="B20" s="20" t="inlineStr">
        <is>
          <t>IT Handbook</t>
        </is>
      </c>
      <c r="C20" s="19" t="inlineStr">
        <is>
          <t>Shared Foundation Operations</t>
        </is>
      </c>
      <c r="D20" s="19" t="inlineStr">
        <is>
          <t>IT</t>
        </is>
      </c>
      <c r="E20" s="19" t="inlineStr">
        <is>
          <t>Department Handbook</t>
        </is>
      </c>
      <c r="F20" s="19" t="inlineStr">
        <is>
          <t>L2-L5</t>
        </is>
      </c>
      <c r="G20" s="21" t="inlineStr">
        <is>
          <t>L2</t>
        </is>
      </c>
      <c r="H20" s="23" t="inlineStr">
        <is>
          <t>-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APF-SOP-01</t>
        </is>
      </c>
      <c r="B21" s="20" t="inlineStr">
        <is>
          <t>Fund Utilisation and Documentation Handbook</t>
        </is>
      </c>
      <c r="C21" s="19" t="inlineStr">
        <is>
          <t>NGO Compliance</t>
        </is>
      </c>
      <c r="D21" s="19" t="inlineStr">
        <is>
          <t>Documentation</t>
        </is>
      </c>
      <c r="E21" s="19" t="inlineStr">
        <is>
          <t>SOP Handbook</t>
        </is>
      </c>
      <c r="F21" s="19" t="inlineStr">
        <is>
          <t>L2-L5</t>
        </is>
      </c>
      <c r="G21" s="21" t="inlineStr">
        <is>
          <t>L2</t>
        </is>
      </c>
      <c r="H21" s="23" t="inlineStr">
        <is>
          <t>-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APF-CMP-01</t>
        </is>
      </c>
      <c r="B22" s="20" t="inlineStr">
        <is>
          <t>NGO Compliance Handbook</t>
        </is>
      </c>
      <c r="C22" s="19" t="inlineStr">
        <is>
          <t>NGO Compliance</t>
        </is>
      </c>
      <c r="D22" s="19" t="inlineStr">
        <is>
          <t>Compliance</t>
        </is>
      </c>
      <c r="E22" s="19" t="inlineStr">
        <is>
          <t>Compliance Handbook</t>
        </is>
      </c>
      <c r="F22" s="19" t="inlineStr">
        <is>
          <t>L3-L5</t>
        </is>
      </c>
      <c r="G22" s="21" t="inlineStr">
        <is>
          <t>L3</t>
        </is>
      </c>
      <c r="H22" s="23" t="inlineStr">
        <is>
          <t>-</t>
        </is>
      </c>
      <c r="I22" s="23" t="inlineStr">
        <is>
          <t>-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APF-DPT-09</t>
        </is>
      </c>
      <c r="B23" s="20" t="inlineStr">
        <is>
          <t>Social Impact Reporting Handbook</t>
        </is>
      </c>
      <c r="C23" s="19" t="inlineStr">
        <is>
          <t>NGO Compliance</t>
        </is>
      </c>
      <c r="D23" s="19" t="inlineStr">
        <is>
          <t>Reporting</t>
        </is>
      </c>
      <c r="E23" s="19" t="inlineStr">
        <is>
          <t>Department Handbook</t>
        </is>
      </c>
      <c r="F23" s="19" t="inlineStr">
        <is>
          <t>L3-L5</t>
        </is>
      </c>
      <c r="G23" s="21" t="inlineStr">
        <is>
          <t>L3</t>
        </is>
      </c>
      <c r="H23" s="23" t="inlineStr">
        <is>
          <t>-</t>
        </is>
      </c>
      <c r="I23" s="23" t="inlineStr">
        <is>
          <t>-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APF-LDR-01</t>
        </is>
      </c>
      <c r="B24" s="20" t="inlineStr">
        <is>
          <t>Aram Pazhaguvom Leadership Handbook</t>
        </is>
      </c>
      <c r="C24" s="19" t="inlineStr">
        <is>
          <t>Shared Foundation Operations</t>
        </is>
      </c>
      <c r="D24" s="19" t="inlineStr">
        <is>
          <t>Leadership</t>
        </is>
      </c>
      <c r="E24" s="19" t="inlineStr">
        <is>
          <t>Leadership Handbook</t>
        </is>
      </c>
      <c r="F24" s="19" t="inlineStr">
        <is>
          <t>L4-L5</t>
        </is>
      </c>
      <c r="G24" s="21" t="inlineStr">
        <is>
          <t>L4</t>
        </is>
      </c>
      <c r="H24" s="23" t="inlineStr">
        <is>
          <t>-</t>
        </is>
      </c>
      <c r="I24" s="23" t="inlineStr">
        <is>
          <t>-</t>
        </is>
      </c>
      <c r="J24" s="23" t="inlineStr">
        <is>
          <t>-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APF-MGT-01</t>
        </is>
      </c>
      <c r="B25" s="20" t="inlineStr">
        <is>
          <t>Aram Pazhaguvom Management Handbook</t>
        </is>
      </c>
      <c r="C25" s="19" t="inlineStr">
        <is>
          <t>Shared Foundation Operations</t>
        </is>
      </c>
      <c r="D25" s="19" t="inlineStr">
        <is>
          <t>Management</t>
        </is>
      </c>
      <c r="E25" s="19" t="inlineStr">
        <is>
          <t>Management Handbook</t>
        </is>
      </c>
      <c r="F25" s="19" t="inlineStr">
        <is>
          <t>L4-L5</t>
        </is>
      </c>
      <c r="G25" s="21" t="inlineStr">
        <is>
          <t>L4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2" t="inlineStr">
        <is>
          <t>Yes</t>
        </is>
      </c>
      <c r="L25" s="22" t="inlineStr">
        <is>
          <t>Yes</t>
        </is>
      </c>
    </row>
  </sheetData>
  <autoFilter ref="A5:L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Aram Pazhaguvom Foundation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7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16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18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20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ARAM PAZHAGUVOM FOUNDATION - SD ACADEMY WEBSITE UPLOAD CHECKLIST (20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APF-BRD-01</t>
        </is>
      </c>
      <c r="C19" s="10" t="inlineStr">
        <is>
          <t>SDG_AramPazhaguvom_Foundation_Handbook_L1-L5_V1.0.pdf</t>
        </is>
      </c>
      <c r="D19" s="10" t="inlineStr">
        <is>
          <t>SD Academy/07_Aram_Pazhaguvom/01_Company_Handbooks</t>
        </is>
      </c>
      <c r="E19" s="9" t="inlineStr">
        <is>
          <t>SDA-CRS-APF-BRD-01</t>
        </is>
      </c>
      <c r="F19" s="10" t="inlineStr">
        <is>
          <t>Aram Pazhaguvom Foundation | All Divisions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APF-DPT-05</t>
        </is>
      </c>
      <c r="C20" s="15" t="inlineStr">
        <is>
          <t>SDG_AramPazhaguvom_Fundraising_Donor_Sponsor_Coordination_Handbook_L2-L5_V1.0.pdf</t>
        </is>
      </c>
      <c r="D20" s="15" t="inlineStr">
        <is>
          <t>SD Academy/07_Aram_Pazhaguvom/03_Department_Handbooks</t>
        </is>
      </c>
      <c r="E20" s="14" t="inlineStr">
        <is>
          <t>SDA-CRS-APF-DPT-05</t>
        </is>
      </c>
      <c r="F20" s="15" t="inlineStr">
        <is>
          <t>Aram Pazhaguvom Foundation | Donor / Sponsor Coordination | L2-L5</t>
        </is>
      </c>
      <c r="G20" s="11" t="inlineStr">
        <is>
          <t>No</t>
        </is>
      </c>
      <c r="H20" s="11" t="inlineStr">
        <is>
          <t>Yes</t>
        </is>
      </c>
      <c r="I20" s="11" t="inlineStr">
        <is>
          <t>n/a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APF-DPT-06</t>
        </is>
      </c>
      <c r="C21" s="10" t="inlineStr">
        <is>
          <t>SDG_AramPazhaguvom_Partnerships_Handbook_L2-L5_V1.0.pdf</t>
        </is>
      </c>
      <c r="D21" s="10" t="inlineStr">
        <is>
          <t>SD Academy/07_Aram_Pazhaguvom/03_Department_Handbooks</t>
        </is>
      </c>
      <c r="E21" s="9" t="inlineStr">
        <is>
          <t>SDA-CRS-APF-DPT-06</t>
        </is>
      </c>
      <c r="F21" s="10" t="inlineStr">
        <is>
          <t>Aram Pazhaguvom Foundation | Donor / Sponsor Coordination | L2-L5</t>
        </is>
      </c>
      <c r="G21" s="11" t="inlineStr">
        <is>
          <t>No</t>
        </is>
      </c>
      <c r="H21" s="11" t="inlineStr">
        <is>
          <t>Yes</t>
        </is>
      </c>
      <c r="I21" s="11" t="inlineStr">
        <is>
          <t>n/a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APF-DPT-01</t>
        </is>
      </c>
      <c r="C22" s="15" t="inlineStr">
        <is>
          <t>SDG_AramPazhaguvom_CSR_Program_Management_Handbook_L1-L5_V1.0.pdf</t>
        </is>
      </c>
      <c r="D22" s="15" t="inlineStr">
        <is>
          <t>SD Academy/07_Aram_Pazhaguvom/03_Department_Handbooks</t>
        </is>
      </c>
      <c r="E22" s="14" t="inlineStr">
        <is>
          <t>SDA-CRS-APF-DPT-01</t>
        </is>
      </c>
      <c r="F22" s="15" t="inlineStr">
        <is>
          <t>Aram Pazhaguvom Foundation | CSR Programs | L1-L5</t>
        </is>
      </c>
      <c r="G22" s="11" t="inlineStr">
        <is>
          <t>No</t>
        </is>
      </c>
      <c r="H22" s="11" t="inlineStr">
        <is>
          <t>Yes</t>
        </is>
      </c>
      <c r="I22" s="11" t="inlineStr">
        <is>
          <t>n/a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APF-DPT-02</t>
        </is>
      </c>
      <c r="C23" s="10" t="inlineStr">
        <is>
          <t>SDG_AramPazhaguvom_Plantation_Operations_Handbook_L1-L5_V1.0.pdf</t>
        </is>
      </c>
      <c r="D23" s="10" t="inlineStr">
        <is>
          <t>SD Academy/07_Aram_Pazhaguvom/03_Department_Handbooks</t>
        </is>
      </c>
      <c r="E23" s="9" t="inlineStr">
        <is>
          <t>SDA-CRS-APF-DPT-02</t>
        </is>
      </c>
      <c r="F23" s="10" t="inlineStr">
        <is>
          <t>Aram Pazhaguvom Foundation | Social Projects | L1-L5</t>
        </is>
      </c>
      <c r="G23" s="11" t="inlineStr">
        <is>
          <t>No</t>
        </is>
      </c>
      <c r="H23" s="11" t="inlineStr">
        <is>
          <t>Yes</t>
        </is>
      </c>
      <c r="I23" s="11" t="inlineStr">
        <is>
          <t>n/a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APF-DPT-03</t>
        </is>
      </c>
      <c r="C24" s="15" t="inlineStr">
        <is>
          <t>SDG_AramPazhaguvom_Community_Development_Outreach_Handbook_L1-L5_V1.0.pdf</t>
        </is>
      </c>
      <c r="D24" s="15" t="inlineStr">
        <is>
          <t>SD Academy/07_Aram_Pazhaguvom/03_Department_Handbooks</t>
        </is>
      </c>
      <c r="E24" s="14" t="inlineStr">
        <is>
          <t>SDA-CRS-APF-DPT-03</t>
        </is>
      </c>
      <c r="F24" s="15" t="inlineStr">
        <is>
          <t>Aram Pazhaguvom Foundation | Community Outreach | L1-L5</t>
        </is>
      </c>
      <c r="G24" s="11" t="inlineStr">
        <is>
          <t>No</t>
        </is>
      </c>
      <c r="H24" s="11" t="inlineStr">
        <is>
          <t>Yes</t>
        </is>
      </c>
      <c r="I24" s="11" t="inlineStr">
        <is>
          <t>n/a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APF-DPT-04</t>
        </is>
      </c>
      <c r="C25" s="10" t="inlineStr">
        <is>
          <t>SDG_AramPazhaguvom_Volunteer_Management_Handbook_L1-L5_V1.0.pdf</t>
        </is>
      </c>
      <c r="D25" s="10" t="inlineStr">
        <is>
          <t>SD Academy/07_Aram_Pazhaguvom/03_Department_Handbooks</t>
        </is>
      </c>
      <c r="E25" s="9" t="inlineStr">
        <is>
          <t>SDA-CRS-APF-DPT-04</t>
        </is>
      </c>
      <c r="F25" s="10" t="inlineStr">
        <is>
          <t>Aram Pazhaguvom Foundation | Volunteer Management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APF-DPT-07</t>
        </is>
      </c>
      <c r="C26" s="15" t="inlineStr">
        <is>
          <t>SDG_AramPazhaguvom_Event_and_Camp_Management_Handbook_L1-L5_V1.0.pdf</t>
        </is>
      </c>
      <c r="D26" s="15" t="inlineStr">
        <is>
          <t>SD Academy/07_Aram_Pazhaguvom/03_Department_Handbooks</t>
        </is>
      </c>
      <c r="E26" s="14" t="inlineStr">
        <is>
          <t>SDA-CRS-APF-DPT-07</t>
        </is>
      </c>
      <c r="F26" s="15" t="inlineStr">
        <is>
          <t>Aram Pazhaguvom Foundation | Community Outreach | L1-L5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APF-DPT-08</t>
        </is>
      </c>
      <c r="C27" s="10" t="inlineStr">
        <is>
          <t>SDG_AramPazhaguvom_Education_Support_Program_Handbook_L2-L5_V1.0.pdf</t>
        </is>
      </c>
      <c r="D27" s="10" t="inlineStr">
        <is>
          <t>SD Academy/07_Aram_Pazhaguvom/03_Department_Handbooks</t>
        </is>
      </c>
      <c r="E27" s="9" t="inlineStr">
        <is>
          <t>SDA-CRS-APF-DPT-08</t>
        </is>
      </c>
      <c r="F27" s="10" t="inlineStr">
        <is>
          <t>Aram Pazhaguvom Foundation | Education Support | L2-L5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APF-CMP-01</t>
        </is>
      </c>
      <c r="C28" s="15" t="inlineStr">
        <is>
          <t>SDG_AramPazhaguvom_NGO_Compliance_Handbook_L3-L5_V1.0.pdf</t>
        </is>
      </c>
      <c r="D28" s="15" t="inlineStr">
        <is>
          <t>SD Academy/07_Aram_Pazhaguvom/05_Compliance_Handbooks</t>
        </is>
      </c>
      <c r="E28" s="14" t="inlineStr">
        <is>
          <t>SDA-CRS-APF-CMP-01</t>
        </is>
      </c>
      <c r="F28" s="15" t="inlineStr">
        <is>
          <t>Aram Pazhaguvom Foundation | NGO Compliance | L3-L5</t>
        </is>
      </c>
      <c r="G28" s="31" t="inlineStr">
        <is>
          <t>Yes</t>
        </is>
      </c>
      <c r="H28" s="11" t="inlineStr">
        <is>
          <t>Yes</t>
        </is>
      </c>
      <c r="I28" s="12" t="inlineStr">
        <is>
          <t>REQUIRED</t>
        </is>
      </c>
      <c r="J28" s="30" t="inlineStr"/>
      <c r="K28" s="30" t="inlineStr"/>
      <c r="L28" s="30" t="inlineStr"/>
      <c r="M28" s="30" t="inlineStr"/>
      <c r="N28" s="30" t="inlineStr"/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APF-CMP-02</t>
        </is>
      </c>
      <c r="C29" s="10" t="inlineStr">
        <is>
          <t>SDG_AramPazhaguvom_Beneficiary_Data_Privacy_Handbook_L2-L5_V1.0.pdf</t>
        </is>
      </c>
      <c r="D29" s="10" t="inlineStr">
        <is>
          <t>SD Academy/07_Aram_Pazhaguvom/05_Compliance_Handbooks</t>
        </is>
      </c>
      <c r="E29" s="9" t="inlineStr">
        <is>
          <t>SDA-CRS-APF-CMP-02</t>
        </is>
      </c>
      <c r="F29" s="10" t="inlineStr">
        <is>
          <t>Aram Pazhaguvom Foundation | NGO Compliance | L2-L5</t>
        </is>
      </c>
      <c r="G29" s="31" t="inlineStr">
        <is>
          <t>Yes</t>
        </is>
      </c>
      <c r="H29" s="11" t="inlineStr">
        <is>
          <t>Yes</t>
        </is>
      </c>
      <c r="I29" s="12" t="inlineStr">
        <is>
          <t>REQUIRED</t>
        </is>
      </c>
      <c r="J29" s="30" t="inlineStr"/>
      <c r="K29" s="30" t="inlineStr"/>
      <c r="L29" s="30" t="inlineStr"/>
      <c r="M29" s="30" t="inlineStr"/>
      <c r="N29" s="30" t="inlineStr"/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APF-DPT-10</t>
        </is>
      </c>
      <c r="C30" s="15" t="inlineStr">
        <is>
          <t>SDG_AramPazhaguvom_Accounts_Handbook_L2-L5_V1.0.pdf</t>
        </is>
      </c>
      <c r="D30" s="15" t="inlineStr">
        <is>
          <t>SD Academy/07_Aram_Pazhaguvom/03_Department_Handbooks</t>
        </is>
      </c>
      <c r="E30" s="14" t="inlineStr">
        <is>
          <t>SDA-CRS-APF-DPT-10</t>
        </is>
      </c>
      <c r="F30" s="15" t="inlineStr">
        <is>
          <t>Aram Pazhaguvom Foundation | Shared Foundation Operations | L2-L5</t>
        </is>
      </c>
      <c r="G30" s="11" t="inlineStr">
        <is>
          <t>No</t>
        </is>
      </c>
      <c r="H30" s="11" t="inlineStr">
        <is>
          <t>Yes</t>
        </is>
      </c>
      <c r="I30" s="11" t="inlineStr">
        <is>
          <t>n/a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APF-DPT-11</t>
        </is>
      </c>
      <c r="C31" s="10" t="inlineStr">
        <is>
          <t>SDG_AramPazhaguvom_Finance_Handbook_L2-L5_V1.0.pdf</t>
        </is>
      </c>
      <c r="D31" s="10" t="inlineStr">
        <is>
          <t>SD Academy/07_Aram_Pazhaguvom/03_Department_Handbooks</t>
        </is>
      </c>
      <c r="E31" s="9" t="inlineStr">
        <is>
          <t>SDA-CRS-APF-DPT-11</t>
        </is>
      </c>
      <c r="F31" s="10" t="inlineStr">
        <is>
          <t>Aram Pazhaguvom Foundation | Shared Foundation Operations | L2-L5</t>
        </is>
      </c>
      <c r="G31" s="11" t="inlineStr">
        <is>
          <t>No</t>
        </is>
      </c>
      <c r="H31" s="11" t="inlineStr">
        <is>
          <t>Yes</t>
        </is>
      </c>
      <c r="I31" s="12" t="inlineStr">
        <is>
          <t>REQUIRED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APF-DPT-12</t>
        </is>
      </c>
      <c r="C32" s="15" t="inlineStr">
        <is>
          <t>SDG_AramPazhaguvom_HR_Volunteer_Conduct_Handbook_L1-L5_V1.0.pdf</t>
        </is>
      </c>
      <c r="D32" s="15" t="inlineStr">
        <is>
          <t>SD Academy/07_Aram_Pazhaguvom/03_Department_Handbooks</t>
        </is>
      </c>
      <c r="E32" s="14" t="inlineStr">
        <is>
          <t>SDA-CRS-APF-DPT-12</t>
        </is>
      </c>
      <c r="F32" s="15" t="inlineStr">
        <is>
          <t>Aram Pazhaguvom Foundation | Shared Foundation Operations | L1-L5</t>
        </is>
      </c>
      <c r="G32" s="11" t="inlineStr">
        <is>
          <t>No</t>
        </is>
      </c>
      <c r="H32" s="11" t="inlineStr">
        <is>
          <t>Yes</t>
        </is>
      </c>
      <c r="I32" s="11" t="inlineStr">
        <is>
          <t>n/a</t>
        </is>
      </c>
      <c r="J32" s="30" t="inlineStr"/>
      <c r="K32" s="30" t="inlineStr"/>
      <c r="L32" s="30" t="inlineStr"/>
      <c r="M32" s="30" t="inlineStr"/>
      <c r="N32" s="30" t="inlineStr">
        <is>
          <t>n/a</t>
        </is>
      </c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APF-DPT-13</t>
        </is>
      </c>
      <c r="C33" s="10" t="inlineStr">
        <is>
          <t>SDG_AramPazhaguvom_Admin_Handbook_L2-L5_V1.0.pdf</t>
        </is>
      </c>
      <c r="D33" s="10" t="inlineStr">
        <is>
          <t>SD Academy/07_Aram_Pazhaguvom/03_Department_Handbooks</t>
        </is>
      </c>
      <c r="E33" s="9" t="inlineStr">
        <is>
          <t>SDA-CRS-APF-DPT-13</t>
        </is>
      </c>
      <c r="F33" s="10" t="inlineStr">
        <is>
          <t>Aram Pazhaguvom Foundation | Shared Foundation Operations | L2-L5</t>
        </is>
      </c>
      <c r="G33" s="11" t="inlineStr">
        <is>
          <t>No</t>
        </is>
      </c>
      <c r="H33" s="11" t="inlineStr">
        <is>
          <t>Yes</t>
        </is>
      </c>
      <c r="I33" s="11" t="inlineStr">
        <is>
          <t>n/a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APF-DPT-14</t>
        </is>
      </c>
      <c r="C34" s="15" t="inlineStr">
        <is>
          <t>SDG_AramPazhaguvom_IT_Handbook_L2-L5_V1.0.pdf</t>
        </is>
      </c>
      <c r="D34" s="15" t="inlineStr">
        <is>
          <t>SD Academy/07_Aram_Pazhaguvom/03_Department_Handbooks</t>
        </is>
      </c>
      <c r="E34" s="14" t="inlineStr">
        <is>
          <t>SDA-CRS-APF-DPT-14</t>
        </is>
      </c>
      <c r="F34" s="15" t="inlineStr">
        <is>
          <t>Aram Pazhaguvom Foundation | Shared Foundation Operations | L2-L5</t>
        </is>
      </c>
      <c r="G34" s="11" t="inlineStr">
        <is>
          <t>No</t>
        </is>
      </c>
      <c r="H34" s="11" t="inlineStr">
        <is>
          <t>Yes</t>
        </is>
      </c>
      <c r="I34" s="11" t="inlineStr">
        <is>
          <t>n/a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APF-SOP-01</t>
        </is>
      </c>
      <c r="C35" s="10" t="inlineStr">
        <is>
          <t>SDG_AramPazhaguvom_Fund_Utilisation_and_Documentation_Handbook_L2-L5_V1.0.pdf</t>
        </is>
      </c>
      <c r="D35" s="10" t="inlineStr">
        <is>
          <t>SD Academy/07_Aram_Pazhaguvom/04_SOP_Handbooks</t>
        </is>
      </c>
      <c r="E35" s="9" t="inlineStr">
        <is>
          <t>SDA-CRS-APF-SOP-01</t>
        </is>
      </c>
      <c r="F35" s="10" t="inlineStr">
        <is>
          <t>Aram Pazhaguvom Foundation | NGO Compliance | L2-L5</t>
        </is>
      </c>
      <c r="G35" s="11" t="inlineStr">
        <is>
          <t>No</t>
        </is>
      </c>
      <c r="H35" s="11" t="inlineStr">
        <is>
          <t>No</t>
        </is>
      </c>
      <c r="I35" s="12" t="inlineStr">
        <is>
          <t>REQUIRED</t>
        </is>
      </c>
      <c r="J35" s="30" t="inlineStr"/>
      <c r="K35" s="30" t="inlineStr"/>
      <c r="L35" s="30" t="inlineStr"/>
      <c r="M35" s="30" t="inlineStr"/>
      <c r="N35" s="30" t="inlineStr">
        <is>
          <t>n/a</t>
        </is>
      </c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APF-LDR-01</t>
        </is>
      </c>
      <c r="C36" s="15" t="inlineStr">
        <is>
          <t>SDG_AramPazhaguvom_Leadership_Handbook_L4-L5_V1.0.pdf</t>
        </is>
      </c>
      <c r="D36" s="15" t="inlineStr">
        <is>
          <t>SD Academy/07_Aram_Pazhaguvom/06_Management_Handbooks</t>
        </is>
      </c>
      <c r="E36" s="14" t="inlineStr">
        <is>
          <t>SDA-CRS-APF-LDR-01</t>
        </is>
      </c>
      <c r="F36" s="15" t="inlineStr">
        <is>
          <t>Aram Pazhaguvom Foundation | Shared Foundation Operations | L4-L5</t>
        </is>
      </c>
      <c r="G36" s="11" t="inlineStr">
        <is>
          <t>No</t>
        </is>
      </c>
      <c r="H36" s="11" t="inlineStr">
        <is>
          <t>Yes</t>
        </is>
      </c>
      <c r="I36" s="11" t="inlineStr">
        <is>
          <t>n/a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APF-MGT-01</t>
        </is>
      </c>
      <c r="C37" s="10" t="inlineStr">
        <is>
          <t>SDG_AramPazhaguvom_Management_Handbook_L4-L5_V1.0.pdf</t>
        </is>
      </c>
      <c r="D37" s="10" t="inlineStr">
        <is>
          <t>SD Academy/07_Aram_Pazhaguvom/06_Management_Handbooks</t>
        </is>
      </c>
      <c r="E37" s="9" t="inlineStr">
        <is>
          <t>SDA-CRS-APF-MGT-01</t>
        </is>
      </c>
      <c r="F37" s="10" t="inlineStr">
        <is>
          <t>Aram Pazhaguvom Foundation | Shared Foundation Operations | L4-L5</t>
        </is>
      </c>
      <c r="G37" s="11" t="inlineStr">
        <is>
          <t>No</t>
        </is>
      </c>
      <c r="H37" s="11" t="inlineStr">
        <is>
          <t>Yes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APF-DPT-09</t>
        </is>
      </c>
      <c r="C38" s="15" t="inlineStr">
        <is>
          <t>SDG_AramPazhaguvom_Social_Impact_Reporting_Handbook_L3-L5_V1.0.pdf</t>
        </is>
      </c>
      <c r="D38" s="15" t="inlineStr">
        <is>
          <t>SD Academy/07_Aram_Pazhaguvom/03_Department_Handbooks</t>
        </is>
      </c>
      <c r="E38" s="14" t="inlineStr">
        <is>
          <t>SDA-CRS-APF-DPT-09</t>
        </is>
      </c>
      <c r="F38" s="15" t="inlineStr">
        <is>
          <t>Aram Pazhaguvom Foundation | NGO Compliance | L3-L5</t>
        </is>
      </c>
      <c r="G38" s="11" t="inlineStr">
        <is>
          <t>No</t>
        </is>
      </c>
      <c r="H38" s="11" t="inlineStr">
        <is>
          <t>Yes</t>
        </is>
      </c>
      <c r="I38" s="11" t="inlineStr">
        <is>
          <t>n/a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40">
      <c r="A40" s="4" t="inlineStr">
        <is>
          <t>C. SIGN-OFF</t>
        </is>
      </c>
    </row>
    <row r="41">
      <c r="A41" s="5" t="inlineStr">
        <is>
          <t>Role</t>
        </is>
      </c>
      <c r="B41" s="5" t="inlineStr">
        <is>
          <t>Name</t>
        </is>
      </c>
      <c r="C41" s="5" t="inlineStr">
        <is>
          <t>Signature / Digital Confirmation</t>
        </is>
      </c>
      <c r="D41" s="5" t="inlineStr">
        <is>
          <t>Date</t>
        </is>
      </c>
    </row>
    <row r="42">
      <c r="A42" s="32" t="inlineStr">
        <is>
          <t>Portal Admin (upload complete)</t>
        </is>
      </c>
      <c r="B42" s="33" t="n"/>
      <c r="C42" s="33" t="n"/>
      <c r="D42" s="33" t="n"/>
    </row>
    <row r="43">
      <c r="A43" s="32" t="inlineStr">
        <is>
          <t>Group HR (access tags verified)</t>
        </is>
      </c>
      <c r="B43" s="33" t="n"/>
      <c r="C43" s="33" t="n"/>
      <c r="D43" s="33" t="n"/>
    </row>
    <row r="44">
      <c r="A44" s="32" t="inlineStr">
        <is>
          <t>Company Head (release approved)</t>
        </is>
      </c>
      <c r="B44" s="33" t="n"/>
      <c r="C44" s="33" t="n"/>
      <c r="D44" s="33" t="n"/>
    </row>
  </sheetData>
  <autoFilter ref="A18:S38"/>
  <dataValidations count="2">
    <dataValidation sqref="J19:P38" showDropDown="0" showInputMessage="0" showErrorMessage="0" allowBlank="1" type="list">
      <formula1>"Done,Pending,N/A"</formula1>
    </dataValidation>
    <dataValidation sqref="I19:I38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Aram Pazhaguvom Foundation</t>
        </is>
      </c>
      <c r="D6" s="25" t="inlineStr">
        <is>
          <t>Aram Pazhaguvom Foundation register separated from SDG_Handbook_Master_Register_v3.1 into a standalone workbook covering 20 books. All 20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2026-08-05T17:02:21Z</dcterms:created>
  <dcterms:modified xmlns:dcterms="http://purl.org/dc/terms/" xmlns:xsi="http://www.w3.org/2001/XMLSchema-instance" xsi:type="dcterms:W3CDTF">2026-08-05T17:02:21Z</dcterms:modified>
</cp:coreProperties>
</file>