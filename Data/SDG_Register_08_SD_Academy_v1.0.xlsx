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Level_Matrix" sheetId="3" state="visible" r:id="rId3"/>
    <sheet xmlns:r="http://schemas.openxmlformats.org/officeDocument/2006/relationships" name="Level_Guide" sheetId="4" state="visible" r:id="rId4"/>
    <sheet xmlns:r="http://schemas.openxmlformats.org/officeDocument/2006/relationships" name="Upload_Checklist" sheetId="5" state="visible" r:id="rId5"/>
    <sheet xmlns:r="http://schemas.openxmlformats.org/officeDocument/2006/relationships" name="Access_Matrix" sheetId="6" state="visible" r:id="rId6"/>
    <sheet xmlns:r="http://schemas.openxmlformats.org/officeDocument/2006/relationships" name="Status_Flow" sheetId="7" state="visible" r:id="rId7"/>
    <sheet xmlns:r="http://schemas.openxmlformats.org/officeDocument/2006/relationships" name="Change_Log" sheetId="8" state="visible" r:id="rId8"/>
    <sheet xmlns:r="http://schemas.openxmlformats.org/officeDocument/2006/relationships" name="Lists" sheetId="9" state="hidden" r:id="rId9"/>
  </sheets>
  <definedNames>
    <definedName name="_xlnm._FilterDatabase" localSheetId="1" hidden="1">'Register'!$A$5:$X$22</definedName>
    <definedName name="_xlnm._FilterDatabase" localSheetId="2" hidden="1">'Level_Matrix'!$A$5:$L$22</definedName>
    <definedName name="_xlnm._FilterDatabase" localSheetId="4" hidden="1">'Upload_Checklist'!$A$18:$S$35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C0392B"/>
      <sz val="12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C0392B"/>
      <sz val="9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1F3864"/>
      <sz val="10"/>
    </font>
    <font>
      <name val="Calibri"/>
      <b val="1"/>
      <sz val="10"/>
    </font>
    <font>
      <name val="Calibri"/>
      <b val="1"/>
      <color rgb="001E6B34"/>
      <sz val="9"/>
    </font>
    <font>
      <name val="Calibri"/>
      <color rgb="00BBBBBB"/>
      <sz val="9"/>
    </font>
    <font>
      <name val="Calibri"/>
      <b val="1"/>
      <sz val="9"/>
    </font>
    <font>
      <name val="Calibri"/>
      <b val="1"/>
      <color rgb="001E6B34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EF3F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395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164" fontId="5" fillId="4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top" wrapText="1"/>
    </xf>
    <xf numFmtId="0" fontId="8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top"/>
    </xf>
    <xf numFmtId="0" fontId="13" fillId="5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top"/>
    </xf>
    <xf numFmtId="0" fontId="9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SD ACADEMY - GOVERNANCE DASHBOARD</t>
        </is>
      </c>
    </row>
    <row r="3">
      <c r="A3" s="3" t="inlineStr">
        <is>
          <t>All figures are live formulas reading the Register tab.</t>
        </is>
      </c>
    </row>
    <row r="5">
      <c r="A5" s="4" t="inlineStr">
        <is>
          <t>GOVERNANCE SUMMARY</t>
        </is>
      </c>
    </row>
    <row r="6">
      <c r="A6" s="5" t="inlineStr">
        <is>
          <t>Metric</t>
        </is>
      </c>
      <c r="B6" s="5" t="inlineStr">
        <is>
          <t>Value</t>
        </is>
      </c>
    </row>
    <row r="7">
      <c r="A7" s="6" t="inlineStr">
        <is>
          <t>Total books</t>
        </is>
      </c>
      <c r="B7" s="7">
        <f>COUNTA(Register!$A$6:$A$22)</f>
        <v/>
      </c>
    </row>
    <row r="8">
      <c r="A8" s="6" t="inlineStr">
        <is>
          <t>Books requiring HR review</t>
        </is>
      </c>
      <c r="B8" s="7">
        <f>COUNTIF(Register!$I$6:$I$22,"Yes")</f>
        <v/>
      </c>
    </row>
    <row r="9">
      <c r="A9" s="6" t="inlineStr">
        <is>
          <t>Books requiring legal review (legal-sensitive)</t>
        </is>
      </c>
      <c r="B9" s="7">
        <f>COUNTIF(Register!$J$6:$J$22,"Yes")</f>
        <v/>
      </c>
    </row>
    <row r="10">
      <c r="A10" s="6" t="inlineStr">
        <is>
          <t>Books requiring management approval</t>
        </is>
      </c>
      <c r="B10" s="7">
        <f>COUNTIF(Register!$K$6:$K$22,"Yes")</f>
        <v/>
      </c>
    </row>
    <row r="11">
      <c r="A11" s="6" t="inlineStr">
        <is>
          <t>Books requiring employee acknowledgement</t>
        </is>
      </c>
      <c r="B11" s="7">
        <f>COUNTIF(Register!$L$6:$L$22,"Yes")</f>
        <v/>
      </c>
    </row>
    <row r="12">
      <c r="A12" s="6" t="inlineStr">
        <is>
          <t>Books requiring quiz / assessment</t>
        </is>
      </c>
      <c r="B12" s="7">
        <f>COUNTIF(Register!$M$6:$M$22,"Yes")</f>
        <v/>
      </c>
    </row>
    <row r="14">
      <c r="A14" s="4" t="inlineStr">
        <is>
          <t>PRODUCTION STATUS</t>
        </is>
      </c>
    </row>
    <row r="15">
      <c r="A15" s="5" t="inlineStr">
        <is>
          <t>Status</t>
        </is>
      </c>
      <c r="B15" s="5" t="inlineStr">
        <is>
          <t>Books</t>
        </is>
      </c>
    </row>
    <row r="16">
      <c r="A16" s="6" t="inlineStr">
        <is>
          <t>Not Started</t>
        </is>
      </c>
      <c r="B16" s="8">
        <f>COUNTIF(Register!$S$6:$S$22,"Not Started")</f>
        <v/>
      </c>
    </row>
    <row r="17">
      <c r="A17" s="6" t="inlineStr">
        <is>
          <t>Draft Content Created</t>
        </is>
      </c>
      <c r="B17" s="8">
        <f>COUNTIF(Register!$S$6:$S$22,"Draft Content Created")</f>
        <v/>
      </c>
    </row>
    <row r="18">
      <c r="A18" s="6" t="inlineStr">
        <is>
          <t>HR Review Pending</t>
        </is>
      </c>
      <c r="B18" s="8">
        <f>COUNTIF(Register!$S$6:$S$22,"HR Review Pending")</f>
        <v/>
      </c>
    </row>
    <row r="19">
      <c r="A19" s="6" t="inlineStr">
        <is>
          <t>HR Approved</t>
        </is>
      </c>
      <c r="B19" s="8">
        <f>COUNTIF(Register!$S$6:$S$22,"HR Approved")</f>
        <v/>
      </c>
    </row>
    <row r="20">
      <c r="A20" s="6" t="inlineStr">
        <is>
          <t>Legal Review Pending</t>
        </is>
      </c>
      <c r="B20" s="8">
        <f>COUNTIF(Register!$S$6:$S$22,"Legal Review Pending")</f>
        <v/>
      </c>
    </row>
    <row r="21">
      <c r="A21" s="6" t="inlineStr">
        <is>
          <t>Legal Approved</t>
        </is>
      </c>
      <c r="B21" s="8">
        <f>COUNTIF(Register!$S$6:$S$22,"Legal Approved")</f>
        <v/>
      </c>
    </row>
    <row r="22">
      <c r="A22" s="6" t="inlineStr">
        <is>
          <t>Management Review Pending</t>
        </is>
      </c>
      <c r="B22" s="8">
        <f>COUNTIF(Register!$S$6:$S$22,"Management Review Pending")</f>
        <v/>
      </c>
    </row>
    <row r="23">
      <c r="A23" s="6" t="inlineStr">
        <is>
          <t>Management Approved</t>
        </is>
      </c>
      <c r="B23" s="8">
        <f>COUNTIF(Register!$S$6:$S$22,"Management Approved")</f>
        <v/>
      </c>
    </row>
    <row r="24">
      <c r="A24" s="6" t="inlineStr">
        <is>
          <t>PDF Designed</t>
        </is>
      </c>
      <c r="B24" s="8">
        <f>COUNTIF(Register!$S$6:$S$22,"PDF Designed")</f>
        <v/>
      </c>
    </row>
    <row r="25">
      <c r="A25" s="6" t="inlineStr">
        <is>
          <t>PDF Final Checked</t>
        </is>
      </c>
      <c r="B25" s="8">
        <f>COUNTIF(Register!$S$6:$S$22,"PDF Final Checked")</f>
        <v/>
      </c>
    </row>
    <row r="26">
      <c r="A26" s="6" t="inlineStr">
        <is>
          <t>Uploaded to SD Academy</t>
        </is>
      </c>
      <c r="B26" s="8">
        <f>COUNTIF(Register!$S$6:$S$22,"Uploaded to SD Academy")</f>
        <v/>
      </c>
    </row>
    <row r="27">
      <c r="A27" s="6" t="inlineStr">
        <is>
          <t>Access Tagged</t>
        </is>
      </c>
      <c r="B27" s="8">
        <f>COUNTIF(Register!$S$6:$S$22,"Access Tagged")</f>
        <v/>
      </c>
    </row>
    <row r="28">
      <c r="A28" s="6" t="inlineStr">
        <is>
          <t>Acknowledgement Campaign Live</t>
        </is>
      </c>
      <c r="B28" s="8">
        <f>COUNTIF(Register!$S$6:$S$22,"Acknowledgement Campaign Live")</f>
        <v/>
      </c>
    </row>
    <row r="29">
      <c r="A29" s="6" t="inlineStr">
        <is>
          <t>Employee Acknowledgement Completed</t>
        </is>
      </c>
      <c r="B29" s="8">
        <f>COUNTIF(Register!$S$6:$S$22,"Employee Acknowledgement Completed")</f>
        <v/>
      </c>
    </row>
    <row r="30">
      <c r="A30" s="6" t="inlineStr">
        <is>
          <t>Archived / Superseded</t>
        </is>
      </c>
      <c r="B30" s="8">
        <f>COUNTIF(Register!$S$6:$S$22,"Archived / Superseded")</f>
        <v/>
      </c>
    </row>
    <row r="32">
      <c r="A32" s="4" t="inlineStr">
        <is>
          <t>ACCESS LEVEL SPREAD</t>
        </is>
      </c>
    </row>
    <row r="33">
      <c r="A33" s="5" t="inlineStr">
        <is>
          <t>Access band</t>
        </is>
      </c>
      <c r="B33" s="5" t="inlineStr">
        <is>
          <t>Books</t>
        </is>
      </c>
    </row>
    <row r="34">
      <c r="A34" s="6" t="inlineStr">
        <is>
          <t>L1-L5</t>
        </is>
      </c>
      <c r="B34" s="8">
        <f>COUNTIF(Register!$F$6:$F$22,"L1-L5")</f>
        <v/>
      </c>
    </row>
    <row r="35">
      <c r="A35" s="6" t="inlineStr">
        <is>
          <t>L2-L5</t>
        </is>
      </c>
      <c r="B35" s="8">
        <f>COUNTIF(Register!$F$6:$F$22,"L2-L5")</f>
        <v/>
      </c>
    </row>
    <row r="36">
      <c r="A36" s="6" t="inlineStr">
        <is>
          <t>L3-L5</t>
        </is>
      </c>
      <c r="B36" s="8">
        <f>COUNTIF(Register!$F$6:$F$22,"L3-L5")</f>
        <v/>
      </c>
    </row>
    <row r="37">
      <c r="A37" s="6" t="inlineStr">
        <is>
          <t>L4-L5</t>
        </is>
      </c>
      <c r="B37" s="8">
        <f>COUNTIF(Register!$F$6:$F$22,"L4-L5")</f>
        <v/>
      </c>
    </row>
    <row r="38">
      <c r="A38" s="6" t="inlineStr">
        <is>
          <t>L5</t>
        </is>
      </c>
      <c r="B38" s="8">
        <f>COUNTIF(Register!$F$6:$F$22,"L5")</f>
        <v/>
      </c>
    </row>
    <row r="40">
      <c r="A40" s="4" t="inlineStr">
        <is>
          <t>WEBSITE UPLOAD PROGRESS</t>
        </is>
      </c>
    </row>
    <row r="41">
      <c r="A41" s="5" t="inlineStr">
        <is>
          <t>Upload step</t>
        </is>
      </c>
      <c r="B41" s="5" t="inlineStr">
        <is>
          <t>Done</t>
        </is>
      </c>
    </row>
    <row r="42">
      <c r="A42" s="6" t="inlineStr">
        <is>
          <t>1. File Uploaded</t>
        </is>
      </c>
      <c r="B42" s="8">
        <f>COUNTIF(Upload_Checklist!$J$19:$J$35,"Done")&amp;" / 17"</f>
        <v/>
      </c>
    </row>
    <row r="43">
      <c r="A43" s="6" t="inlineStr">
        <is>
          <t>2. Folder Path Verified</t>
        </is>
      </c>
      <c r="B43" s="8">
        <f>COUNTIF(Upload_Checklist!$K$19:$K$35,"Done")&amp;" / 17"</f>
        <v/>
      </c>
    </row>
    <row r="44">
      <c r="A44" s="6" t="inlineStr">
        <is>
          <t>3. Access Tags Applied</t>
        </is>
      </c>
      <c r="B44" s="8">
        <f>COUNTIF(Upload_Checklist!$L$19:$L$35,"Done")&amp;" / 17"</f>
        <v/>
      </c>
    </row>
    <row r="45">
      <c r="A45" s="6" t="inlineStr">
        <is>
          <t>4. Course Linked</t>
        </is>
      </c>
      <c r="B45" s="8">
        <f>COUNTIF(Upload_Checklist!$M$19:$M$35,"Done")&amp;" / 17"</f>
        <v/>
      </c>
    </row>
    <row r="46">
      <c r="A46" s="6" t="inlineStr">
        <is>
          <t>5. Quiz Attached</t>
        </is>
      </c>
      <c r="B46" s="8">
        <f>COUNTIF(Upload_Checklist!$N$19:$N$35,"Done")&amp;" / 17"</f>
        <v/>
      </c>
    </row>
    <row r="47">
      <c r="A47" s="6" t="inlineStr">
        <is>
          <t>6. Live Link Tested</t>
        </is>
      </c>
      <c r="B47" s="8">
        <f>COUNTIF(Upload_Checklist!$O$19:$O$35,"Done")&amp;" / 17"</f>
        <v/>
      </c>
    </row>
    <row r="48">
      <c r="A48" s="6" t="inlineStr">
        <is>
          <t>7. Ack Campaign Pushed</t>
        </is>
      </c>
      <c r="B48" s="8">
        <f>COUNTIF(Upload_Checklist!$P$19:$P$35,"Done")&amp;" / 17"</f>
        <v/>
      </c>
    </row>
    <row r="50">
      <c r="A50" s="4" t="inlineStr">
        <is>
          <t>BOOKS BY CATEGORY</t>
        </is>
      </c>
    </row>
    <row r="51">
      <c r="A51" s="5" t="inlineStr">
        <is>
          <t>Category</t>
        </is>
      </c>
      <c r="B51" s="5" t="inlineStr">
        <is>
          <t>Books</t>
        </is>
      </c>
    </row>
    <row r="52">
      <c r="A52" s="6" t="inlineStr">
        <is>
          <t>Company / Division Handbook</t>
        </is>
      </c>
      <c r="B52" s="8">
        <f>COUNTIF(Register!$E$6:$E$22,"Company / Division Handbook")</f>
        <v/>
      </c>
    </row>
    <row r="53">
      <c r="A53" s="6" t="inlineStr">
        <is>
          <t>Compliance Handbook</t>
        </is>
      </c>
      <c r="B53" s="8">
        <f>COUNTIF(Register!$E$6:$E$22,"Compliance Handbook")</f>
        <v/>
      </c>
    </row>
    <row r="54">
      <c r="A54" s="6" t="inlineStr">
        <is>
          <t>Department Handbook</t>
        </is>
      </c>
      <c r="B54" s="8">
        <f>COUNTIF(Register!$E$6:$E$22,"Department Handbook")</f>
        <v/>
      </c>
    </row>
    <row r="55">
      <c r="A55" s="6" t="inlineStr">
        <is>
          <t>Management Handbook</t>
        </is>
      </c>
      <c r="B55" s="8">
        <f>COUNTIF(Register!$E$6:$E$22,"Management Handbook")</f>
        <v/>
      </c>
    </row>
    <row r="56">
      <c r="A56" s="6" t="inlineStr">
        <is>
          <t>SOP Handbook</t>
        </is>
      </c>
      <c r="B56" s="8">
        <f>COUNTIF(Register!$E$6:$E$22,"SOP Handbook")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4" customWidth="1" min="7" max="7"/>
    <col width="20" customWidth="1" min="8" max="8"/>
    <col width="11" customWidth="1" min="9" max="9"/>
    <col width="11" customWidth="1" min="10" max="10"/>
    <col width="12" customWidth="1" min="11" max="11"/>
    <col width="12" customWidth="1" min="12" max="12"/>
    <col width="11" customWidth="1" min="13" max="13"/>
    <col width="10" customWidth="1" min="14" max="14"/>
    <col width="22" customWidth="1" min="15" max="15"/>
    <col width="38" customWidth="1" min="16" max="16"/>
    <col width="52" customWidth="1" min="17" max="17"/>
    <col width="10" customWidth="1" min="18" max="18"/>
    <col width="22" customWidth="1" min="19" max="19"/>
    <col width="10" customWidth="1" min="20" max="20"/>
    <col width="13" customWidth="1" min="21" max="21"/>
    <col width="14" customWidth="1" min="22" max="22"/>
    <col width="16" customWidth="1" min="23" max="23"/>
    <col width="34" customWidth="1" min="24" max="24"/>
  </cols>
  <sheetData>
    <row r="1">
      <c r="A1" s="1" t="inlineStr">
        <is>
          <t>SD GROUP - EMPLOYEE HANDBOOK REGISTER</t>
        </is>
      </c>
    </row>
    <row r="2">
      <c r="A2" s="2" t="inlineStr">
        <is>
          <t>SD ACADEMY - HANDBOOK REGISTER (17 books)</t>
        </is>
      </c>
    </row>
    <row r="3">
      <c r="A3" s="3" t="inlineStr">
        <is>
          <t>Standalone company register. Source of truth for this entity. Update Current Status here; the Dashboard recalculates automatically.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Employee Level Access</t>
        </is>
      </c>
      <c r="G5" s="5" t="inlineStr">
        <is>
          <t>Confidentiality Level</t>
        </is>
      </c>
      <c r="H5" s="5" t="inlineStr">
        <is>
          <t>Book Owner</t>
        </is>
      </c>
      <c r="I5" s="5" t="inlineStr">
        <is>
          <t>HR Review Required</t>
        </is>
      </c>
      <c r="J5" s="5" t="inlineStr">
        <is>
          <t>Legal Review Required</t>
        </is>
      </c>
      <c r="K5" s="5" t="inlineStr">
        <is>
          <t>Management Approval Required</t>
        </is>
      </c>
      <c r="L5" s="5" t="inlineStr">
        <is>
          <t>Employee Acknowledgement Required</t>
        </is>
      </c>
      <c r="M5" s="5" t="inlineStr">
        <is>
          <t>Quiz / Assessment Required</t>
        </is>
      </c>
      <c r="N5" s="5" t="inlineStr">
        <is>
          <t>Passing Score</t>
        </is>
      </c>
      <c r="O5" s="5" t="inlineStr">
        <is>
          <t>Related SD Academy Course ID</t>
        </is>
      </c>
      <c r="P5" s="5" t="inlineStr">
        <is>
          <t>SD Academy Folder Path</t>
        </is>
      </c>
      <c r="Q5" s="5" t="inlineStr">
        <is>
          <t>PDF File Name</t>
        </is>
      </c>
      <c r="R5" s="5" t="inlineStr">
        <is>
          <t>Version Number</t>
        </is>
      </c>
      <c r="S5" s="5" t="inlineStr">
        <is>
          <t>Current Status</t>
        </is>
      </c>
      <c r="T5" s="5" t="inlineStr">
        <is>
          <t>Priority</t>
        </is>
      </c>
      <c r="U5" s="5" t="inlineStr">
        <is>
          <t>Production Wave</t>
        </is>
      </c>
      <c r="V5" s="5" t="inlineStr">
        <is>
          <t>Review Frequency</t>
        </is>
      </c>
      <c r="W5" s="5" t="inlineStr">
        <is>
          <t>Next Review Due Date</t>
        </is>
      </c>
      <c r="X5" s="5" t="inlineStr">
        <is>
          <t>Remarks / Gap Notes</t>
        </is>
      </c>
    </row>
    <row r="6">
      <c r="A6" s="9" t="inlineStr">
        <is>
          <t>SDA-CMP-03</t>
        </is>
      </c>
      <c r="B6" s="10" t="inlineStr">
        <is>
          <t>SD Academy Portal Administration &amp; Content Governance Handbook</t>
        </is>
      </c>
      <c r="C6" s="9" t="inlineStr">
        <is>
          <t>SD Academy</t>
        </is>
      </c>
      <c r="D6" s="9" t="inlineStr">
        <is>
          <t>Portal Governance</t>
        </is>
      </c>
      <c r="E6" s="9" t="inlineStr">
        <is>
          <t>Compliance Handbook</t>
        </is>
      </c>
      <c r="F6" s="11" t="inlineStr">
        <is>
          <t>L4-L5</t>
        </is>
      </c>
      <c r="G6" s="9" t="inlineStr">
        <is>
          <t>Restricted</t>
        </is>
      </c>
      <c r="H6" s="9" t="inlineStr">
        <is>
          <t>Dept Head - SDA/Portal Governance</t>
        </is>
      </c>
      <c r="I6" s="11" t="inlineStr">
        <is>
          <t>Yes</t>
        </is>
      </c>
      <c r="J6" s="12" t="inlineStr">
        <is>
          <t>Yes</t>
        </is>
      </c>
      <c r="K6" s="11" t="inlineStr">
        <is>
          <t>Yes</t>
        </is>
      </c>
      <c r="L6" s="11" t="inlineStr">
        <is>
          <t>Yes</t>
        </is>
      </c>
      <c r="M6" s="11" t="inlineStr">
        <is>
          <t>No</t>
        </is>
      </c>
      <c r="N6" s="11" t="inlineStr">
        <is>
          <t>-</t>
        </is>
      </c>
      <c r="O6" s="9" t="inlineStr">
        <is>
          <t>SDA-CRS-SDA-CMP-03</t>
        </is>
      </c>
      <c r="P6" s="10" t="inlineStr">
        <is>
          <t>SD Academy/08_SD_Academy/05_Compliance_Handbooks</t>
        </is>
      </c>
      <c r="Q6" s="10" t="inlineStr">
        <is>
          <t>SDG_SDAcademy_Portal_Administration_Content_Governance_Handbook_L4-L5_V1.0.pdf</t>
        </is>
      </c>
      <c r="R6" s="11" t="n">
        <v>1</v>
      </c>
      <c r="S6" s="9" t="inlineStr">
        <is>
          <t>PDF Final Checked</t>
        </is>
      </c>
      <c r="T6" s="11" t="inlineStr">
        <is>
          <t>Critical</t>
        </is>
      </c>
      <c r="U6" s="11" t="inlineStr">
        <is>
          <t>Wave 1</t>
        </is>
      </c>
      <c r="V6" s="9" t="inlineStr">
        <is>
          <t>Annual + on law change</t>
        </is>
      </c>
      <c r="W6" s="13" t="n">
        <v>46478</v>
      </c>
      <c r="X6" s="10" t="inlineStr">
        <is>
          <t>Moved from Common tab; governs uploads, tagging, versioning, approvals for this register</t>
        </is>
      </c>
    </row>
    <row r="7">
      <c r="A7" s="14" t="inlineStr">
        <is>
          <t>SDA-BRD-01</t>
        </is>
      </c>
      <c r="B7" s="15" t="inlineStr">
        <is>
          <t>SD Academy Handbook</t>
        </is>
      </c>
      <c r="C7" s="14" t="inlineStr">
        <is>
          <t>SD Academy</t>
        </is>
      </c>
      <c r="D7" s="14" t="inlineStr">
        <is>
          <t>Academy-wide</t>
        </is>
      </c>
      <c r="E7" s="14" t="inlineStr">
        <is>
          <t>Company / Division Handbook</t>
        </is>
      </c>
      <c r="F7" s="16" t="inlineStr">
        <is>
          <t>L1-L5</t>
        </is>
      </c>
      <c r="G7" s="14" t="inlineStr">
        <is>
          <t>Internal</t>
        </is>
      </c>
      <c r="H7" s="14" t="inlineStr">
        <is>
          <t>HRBP - SD Academy</t>
        </is>
      </c>
      <c r="I7" s="16" t="inlineStr">
        <is>
          <t>Yes</t>
        </is>
      </c>
      <c r="J7" s="12" t="inlineStr">
        <is>
          <t>Yes</t>
        </is>
      </c>
      <c r="K7" s="16" t="inlineStr">
        <is>
          <t>Yes</t>
        </is>
      </c>
      <c r="L7" s="16" t="inlineStr">
        <is>
          <t>Yes</t>
        </is>
      </c>
      <c r="M7" s="16" t="inlineStr">
        <is>
          <t>No</t>
        </is>
      </c>
      <c r="N7" s="16" t="inlineStr">
        <is>
          <t>-</t>
        </is>
      </c>
      <c r="O7" s="14" t="inlineStr">
        <is>
          <t>SDA-CRS-SDA-BRD-01</t>
        </is>
      </c>
      <c r="P7" s="15" t="inlineStr">
        <is>
          <t>SD Academy/08_SD_Academy/01_Company_Handbooks</t>
        </is>
      </c>
      <c r="Q7" s="15" t="inlineStr">
        <is>
          <t>SDG_SDAcademy_Company_Handbook_L1-L5_V1.0.pdf</t>
        </is>
      </c>
      <c r="R7" s="16" t="n">
        <v>1</v>
      </c>
      <c r="S7" s="14" t="inlineStr">
        <is>
          <t>PDF Final Checked</t>
        </is>
      </c>
      <c r="T7" s="16" t="inlineStr">
        <is>
          <t>High</t>
        </is>
      </c>
      <c r="U7" s="16" t="inlineStr">
        <is>
          <t>Wave 2</t>
        </is>
      </c>
      <c r="V7" s="14" t="inlineStr">
        <is>
          <t>Annual + on law change</t>
        </is>
      </c>
      <c r="W7" s="17" t="n">
        <v>46478</v>
      </c>
      <c r="X7" s="15" t="inlineStr"/>
    </row>
    <row r="8">
      <c r="A8" s="9" t="inlineStr">
        <is>
          <t>SDA-DPT-01</t>
        </is>
      </c>
      <c r="B8" s="10" t="inlineStr">
        <is>
          <t>Learning &amp; Development Handbook</t>
        </is>
      </c>
      <c r="C8" s="9" t="inlineStr">
        <is>
          <t>SD Academy</t>
        </is>
      </c>
      <c r="D8" s="9" t="inlineStr">
        <is>
          <t>L&amp;D</t>
        </is>
      </c>
      <c r="E8" s="9" t="inlineStr">
        <is>
          <t>Department Handbook</t>
        </is>
      </c>
      <c r="F8" s="11" t="inlineStr">
        <is>
          <t>L1-L5</t>
        </is>
      </c>
      <c r="G8" s="9" t="inlineStr">
        <is>
          <t>Internal</t>
        </is>
      </c>
      <c r="H8" s="9" t="inlineStr">
        <is>
          <t>Dept Head - SDA/L&amp;D</t>
        </is>
      </c>
      <c r="I8" s="11" t="inlineStr">
        <is>
          <t>Yes</t>
        </is>
      </c>
      <c r="J8" s="11" t="inlineStr">
        <is>
          <t>No</t>
        </is>
      </c>
      <c r="K8" s="11" t="inlineStr">
        <is>
          <t>Yes</t>
        </is>
      </c>
      <c r="L8" s="11" t="inlineStr">
        <is>
          <t>Yes</t>
        </is>
      </c>
      <c r="M8" s="11" t="inlineStr">
        <is>
          <t>No</t>
        </is>
      </c>
      <c r="N8" s="11" t="inlineStr">
        <is>
          <t>-</t>
        </is>
      </c>
      <c r="O8" s="9" t="inlineStr">
        <is>
          <t>SDA-CRS-SDA-DPT-01</t>
        </is>
      </c>
      <c r="P8" s="10" t="inlineStr">
        <is>
          <t>SD Academy/08_SD_Academy/03_Department_Handbooks</t>
        </is>
      </c>
      <c r="Q8" s="10" t="inlineStr">
        <is>
          <t>SDG_SDAcademy_Learning_Development_Handbook_L1-L5_V1.0.pdf</t>
        </is>
      </c>
      <c r="R8" s="11" t="n">
        <v>1</v>
      </c>
      <c r="S8" s="9" t="inlineStr">
        <is>
          <t>PDF Final Checked</t>
        </is>
      </c>
      <c r="T8" s="11" t="inlineStr">
        <is>
          <t>Medium</t>
        </is>
      </c>
      <c r="U8" s="11" t="inlineStr">
        <is>
          <t>Wave 4</t>
        </is>
      </c>
      <c r="V8" s="9" t="inlineStr">
        <is>
          <t>Annual</t>
        </is>
      </c>
      <c r="W8" s="13" t="n">
        <v>46478</v>
      </c>
      <c r="X8" s="10" t="inlineStr"/>
    </row>
    <row r="9">
      <c r="A9" s="14" t="inlineStr">
        <is>
          <t>SDA-DPT-02</t>
        </is>
      </c>
      <c r="B9" s="15" t="inlineStr">
        <is>
          <t>Curriculum Development Handbook</t>
        </is>
      </c>
      <c r="C9" s="14" t="inlineStr">
        <is>
          <t>SD Academy</t>
        </is>
      </c>
      <c r="D9" s="14" t="inlineStr">
        <is>
          <t>Curriculum</t>
        </is>
      </c>
      <c r="E9" s="14" t="inlineStr">
        <is>
          <t>Department Handbook</t>
        </is>
      </c>
      <c r="F9" s="16" t="inlineStr">
        <is>
          <t>L1-L5</t>
        </is>
      </c>
      <c r="G9" s="14" t="inlineStr">
        <is>
          <t>Internal</t>
        </is>
      </c>
      <c r="H9" s="14" t="inlineStr">
        <is>
          <t>Dept Head - SDA/Curriculum</t>
        </is>
      </c>
      <c r="I9" s="16" t="inlineStr">
        <is>
          <t>Yes</t>
        </is>
      </c>
      <c r="J9" s="16" t="inlineStr">
        <is>
          <t>No</t>
        </is>
      </c>
      <c r="K9" s="16" t="inlineStr">
        <is>
          <t>Yes</t>
        </is>
      </c>
      <c r="L9" s="16" t="inlineStr">
        <is>
          <t>Yes</t>
        </is>
      </c>
      <c r="M9" s="16" t="inlineStr">
        <is>
          <t>No</t>
        </is>
      </c>
      <c r="N9" s="16" t="inlineStr">
        <is>
          <t>-</t>
        </is>
      </c>
      <c r="O9" s="14" t="inlineStr">
        <is>
          <t>SDA-CRS-SDA-DPT-02</t>
        </is>
      </c>
      <c r="P9" s="15" t="inlineStr">
        <is>
          <t>SD Academy/08_SD_Academy/03_Department_Handbooks</t>
        </is>
      </c>
      <c r="Q9" s="15" t="inlineStr">
        <is>
          <t>SDG_SDAcademy_Curriculum_Development_Handbook_L1-L5_V1.0.pdf</t>
        </is>
      </c>
      <c r="R9" s="16" t="n">
        <v>1</v>
      </c>
      <c r="S9" s="14" t="inlineStr">
        <is>
          <t>PDF Final Checked</t>
        </is>
      </c>
      <c r="T9" s="16" t="inlineStr">
        <is>
          <t>Medium</t>
        </is>
      </c>
      <c r="U9" s="16" t="inlineStr">
        <is>
          <t>Wave 4</t>
        </is>
      </c>
      <c r="V9" s="14" t="inlineStr">
        <is>
          <t>Annual</t>
        </is>
      </c>
      <c r="W9" s="17" t="n">
        <v>46478</v>
      </c>
      <c r="X9" s="15" t="inlineStr"/>
    </row>
    <row r="10">
      <c r="A10" s="9" t="inlineStr">
        <is>
          <t>SDA-DPT-03</t>
        </is>
      </c>
      <c r="B10" s="10" t="inlineStr">
        <is>
          <t>Faculty Handbook</t>
        </is>
      </c>
      <c r="C10" s="9" t="inlineStr">
        <is>
          <t>SD Academy</t>
        </is>
      </c>
      <c r="D10" s="9" t="inlineStr">
        <is>
          <t>Faculty</t>
        </is>
      </c>
      <c r="E10" s="9" t="inlineStr">
        <is>
          <t>Department Handbook</t>
        </is>
      </c>
      <c r="F10" s="11" t="inlineStr">
        <is>
          <t>L1-L5</t>
        </is>
      </c>
      <c r="G10" s="9" t="inlineStr">
        <is>
          <t>Internal</t>
        </is>
      </c>
      <c r="H10" s="9" t="inlineStr">
        <is>
          <t>Dept Head - SDA/Faculty</t>
        </is>
      </c>
      <c r="I10" s="11" t="inlineStr">
        <is>
          <t>Yes</t>
        </is>
      </c>
      <c r="J10" s="11" t="inlineStr">
        <is>
          <t>No</t>
        </is>
      </c>
      <c r="K10" s="11" t="inlineStr">
        <is>
          <t>Yes</t>
        </is>
      </c>
      <c r="L10" s="11" t="inlineStr">
        <is>
          <t>Yes</t>
        </is>
      </c>
      <c r="M10" s="11" t="inlineStr">
        <is>
          <t>No</t>
        </is>
      </c>
      <c r="N10" s="11" t="inlineStr">
        <is>
          <t>-</t>
        </is>
      </c>
      <c r="O10" s="9" t="inlineStr">
        <is>
          <t>SDA-CRS-SDA-DPT-03</t>
        </is>
      </c>
      <c r="P10" s="10" t="inlineStr">
        <is>
          <t>SD Academy/08_SD_Academy/03_Department_Handbooks</t>
        </is>
      </c>
      <c r="Q10" s="10" t="inlineStr">
        <is>
          <t>SDG_SDAcademy_Faculty_Handbook_L1-L5_V1.0.pdf</t>
        </is>
      </c>
      <c r="R10" s="11" t="n">
        <v>1</v>
      </c>
      <c r="S10" s="9" t="inlineStr">
        <is>
          <t>PDF Final Checked</t>
        </is>
      </c>
      <c r="T10" s="11" t="inlineStr">
        <is>
          <t>Medium</t>
        </is>
      </c>
      <c r="U10" s="11" t="inlineStr">
        <is>
          <t>Wave 4</t>
        </is>
      </c>
      <c r="V10" s="9" t="inlineStr">
        <is>
          <t>Annual</t>
        </is>
      </c>
      <c r="W10" s="13" t="n">
        <v>46478</v>
      </c>
      <c r="X10" s="10" t="inlineStr"/>
    </row>
    <row r="11">
      <c r="A11" s="14" t="inlineStr">
        <is>
          <t>SDA-DPT-05</t>
        </is>
      </c>
      <c r="B11" s="15" t="inlineStr">
        <is>
          <t>Student Relations Handbook</t>
        </is>
      </c>
      <c r="C11" s="14" t="inlineStr">
        <is>
          <t>SD Academy</t>
        </is>
      </c>
      <c r="D11" s="14" t="inlineStr">
        <is>
          <t>Student Relations</t>
        </is>
      </c>
      <c r="E11" s="14" t="inlineStr">
        <is>
          <t>Department Handbook</t>
        </is>
      </c>
      <c r="F11" s="16" t="inlineStr">
        <is>
          <t>L1-L5</t>
        </is>
      </c>
      <c r="G11" s="14" t="inlineStr">
        <is>
          <t>Internal</t>
        </is>
      </c>
      <c r="H11" s="14" t="inlineStr">
        <is>
          <t>Dept Head - SDA/Student Relations</t>
        </is>
      </c>
      <c r="I11" s="16" t="inlineStr">
        <is>
          <t>Yes</t>
        </is>
      </c>
      <c r="J11" s="16" t="inlineStr">
        <is>
          <t>No</t>
        </is>
      </c>
      <c r="K11" s="16" t="inlineStr">
        <is>
          <t>Yes</t>
        </is>
      </c>
      <c r="L11" s="16" t="inlineStr">
        <is>
          <t>Yes</t>
        </is>
      </c>
      <c r="M11" s="16" t="inlineStr">
        <is>
          <t>No</t>
        </is>
      </c>
      <c r="N11" s="16" t="inlineStr">
        <is>
          <t>-</t>
        </is>
      </c>
      <c r="O11" s="14" t="inlineStr">
        <is>
          <t>SDA-CRS-SDA-DPT-05</t>
        </is>
      </c>
      <c r="P11" s="15" t="inlineStr">
        <is>
          <t>SD Academy/08_SD_Academy/03_Department_Handbooks</t>
        </is>
      </c>
      <c r="Q11" s="15" t="inlineStr">
        <is>
          <t>SDG_SDAcademy_Student_Relations_Handbook_L1-L5_V1.0.pdf</t>
        </is>
      </c>
      <c r="R11" s="16" t="n">
        <v>1</v>
      </c>
      <c r="S11" s="14" t="inlineStr">
        <is>
          <t>PDF Final Checked</t>
        </is>
      </c>
      <c r="T11" s="16" t="inlineStr">
        <is>
          <t>Medium</t>
        </is>
      </c>
      <c r="U11" s="16" t="inlineStr">
        <is>
          <t>Wave 4</t>
        </is>
      </c>
      <c r="V11" s="14" t="inlineStr">
        <is>
          <t>Annual</t>
        </is>
      </c>
      <c r="W11" s="17" t="n">
        <v>46478</v>
      </c>
      <c r="X11" s="15" t="inlineStr"/>
    </row>
    <row r="12">
      <c r="A12" s="9" t="inlineStr">
        <is>
          <t>SDA-DPT-06</t>
        </is>
      </c>
      <c r="B12" s="10" t="inlineStr">
        <is>
          <t>Placement Cell Handbook</t>
        </is>
      </c>
      <c r="C12" s="9" t="inlineStr">
        <is>
          <t>SD Academy</t>
        </is>
      </c>
      <c r="D12" s="9" t="inlineStr">
        <is>
          <t>Placement</t>
        </is>
      </c>
      <c r="E12" s="9" t="inlineStr">
        <is>
          <t>Department Handbook</t>
        </is>
      </c>
      <c r="F12" s="11" t="inlineStr">
        <is>
          <t>L1-L5</t>
        </is>
      </c>
      <c r="G12" s="9" t="inlineStr">
        <is>
          <t>Internal</t>
        </is>
      </c>
      <c r="H12" s="9" t="inlineStr">
        <is>
          <t>Dept Head - SDA/Placement</t>
        </is>
      </c>
      <c r="I12" s="11" t="inlineStr">
        <is>
          <t>Yes</t>
        </is>
      </c>
      <c r="J12" s="11" t="inlineStr">
        <is>
          <t>No</t>
        </is>
      </c>
      <c r="K12" s="11" t="inlineStr">
        <is>
          <t>Yes</t>
        </is>
      </c>
      <c r="L12" s="11" t="inlineStr">
        <is>
          <t>Yes</t>
        </is>
      </c>
      <c r="M12" s="11" t="inlineStr">
        <is>
          <t>No</t>
        </is>
      </c>
      <c r="N12" s="11" t="inlineStr">
        <is>
          <t>-</t>
        </is>
      </c>
      <c r="O12" s="9" t="inlineStr">
        <is>
          <t>SDA-CRS-SDA-DPT-06</t>
        </is>
      </c>
      <c r="P12" s="10" t="inlineStr">
        <is>
          <t>SD Academy/08_SD_Academy/03_Department_Handbooks</t>
        </is>
      </c>
      <c r="Q12" s="10" t="inlineStr">
        <is>
          <t>SDG_SDAcademy_Placement_Cell_Handbook_L1-L5_V1.0.pdf</t>
        </is>
      </c>
      <c r="R12" s="11" t="n">
        <v>1</v>
      </c>
      <c r="S12" s="9" t="inlineStr">
        <is>
          <t>PDF Final Checked</t>
        </is>
      </c>
      <c r="T12" s="11" t="inlineStr">
        <is>
          <t>Medium</t>
        </is>
      </c>
      <c r="U12" s="11" t="inlineStr">
        <is>
          <t>Wave 4</t>
        </is>
      </c>
      <c r="V12" s="9" t="inlineStr">
        <is>
          <t>Annual</t>
        </is>
      </c>
      <c r="W12" s="13" t="n">
        <v>46478</v>
      </c>
      <c r="X12" s="10" t="inlineStr"/>
    </row>
    <row r="13">
      <c r="A13" s="14" t="inlineStr">
        <is>
          <t>SDA-DPT-07</t>
        </is>
      </c>
      <c r="B13" s="15" t="inlineStr">
        <is>
          <t>Operations Handbook</t>
        </is>
      </c>
      <c r="C13" s="14" t="inlineStr">
        <is>
          <t>SD Academy</t>
        </is>
      </c>
      <c r="D13" s="14" t="inlineStr">
        <is>
          <t>Operations</t>
        </is>
      </c>
      <c r="E13" s="14" t="inlineStr">
        <is>
          <t>Department Handbook</t>
        </is>
      </c>
      <c r="F13" s="16" t="inlineStr">
        <is>
          <t>L1-L5</t>
        </is>
      </c>
      <c r="G13" s="14" t="inlineStr">
        <is>
          <t>Internal</t>
        </is>
      </c>
      <c r="H13" s="14" t="inlineStr">
        <is>
          <t>Dept Head - SDA/Operations</t>
        </is>
      </c>
      <c r="I13" s="16" t="inlineStr">
        <is>
          <t>Yes</t>
        </is>
      </c>
      <c r="J13" s="16" t="inlineStr">
        <is>
          <t>No</t>
        </is>
      </c>
      <c r="K13" s="16" t="inlineStr">
        <is>
          <t>Yes</t>
        </is>
      </c>
      <c r="L13" s="16" t="inlineStr">
        <is>
          <t>Yes</t>
        </is>
      </c>
      <c r="M13" s="16" t="inlineStr">
        <is>
          <t>No</t>
        </is>
      </c>
      <c r="N13" s="16" t="inlineStr">
        <is>
          <t>-</t>
        </is>
      </c>
      <c r="O13" s="14" t="inlineStr">
        <is>
          <t>SDA-CRS-SDA-DPT-07</t>
        </is>
      </c>
      <c r="P13" s="15" t="inlineStr">
        <is>
          <t>SD Academy/08_SD_Academy/03_Department_Handbooks</t>
        </is>
      </c>
      <c r="Q13" s="15" t="inlineStr">
        <is>
          <t>SDG_SDAcademy_Operations_Handbook_L1-L5_V1.0.pdf</t>
        </is>
      </c>
      <c r="R13" s="16" t="n">
        <v>1</v>
      </c>
      <c r="S13" s="14" t="inlineStr">
        <is>
          <t>PDF Final Checked</t>
        </is>
      </c>
      <c r="T13" s="16" t="inlineStr">
        <is>
          <t>Medium</t>
        </is>
      </c>
      <c r="U13" s="16" t="inlineStr">
        <is>
          <t>Wave 4</t>
        </is>
      </c>
      <c r="V13" s="14" t="inlineStr">
        <is>
          <t>Annual</t>
        </is>
      </c>
      <c r="W13" s="17" t="n">
        <v>46478</v>
      </c>
      <c r="X13" s="15" t="inlineStr"/>
    </row>
    <row r="14">
      <c r="A14" s="9" t="inlineStr">
        <is>
          <t>SDA-MGT-01</t>
        </is>
      </c>
      <c r="B14" s="10" t="inlineStr">
        <is>
          <t>SD Academy Management Handbook</t>
        </is>
      </c>
      <c r="C14" s="9" t="inlineStr">
        <is>
          <t>SD Academy</t>
        </is>
      </c>
      <c r="D14" s="9" t="inlineStr">
        <is>
          <t>Management</t>
        </is>
      </c>
      <c r="E14" s="9" t="inlineStr">
        <is>
          <t>Management Handbook</t>
        </is>
      </c>
      <c r="F14" s="11" t="inlineStr">
        <is>
          <t>L4-L5</t>
        </is>
      </c>
      <c r="G14" s="9" t="inlineStr">
        <is>
          <t>Restricted</t>
        </is>
      </c>
      <c r="H14" s="9" t="inlineStr">
        <is>
          <t>Brand Head - SD Academy</t>
        </is>
      </c>
      <c r="I14" s="11" t="inlineStr">
        <is>
          <t>Yes</t>
        </is>
      </c>
      <c r="J14" s="11" t="inlineStr">
        <is>
          <t>No</t>
        </is>
      </c>
      <c r="K14" s="11" t="inlineStr">
        <is>
          <t>Yes</t>
        </is>
      </c>
      <c r="L14" s="11" t="inlineStr">
        <is>
          <t>Yes</t>
        </is>
      </c>
      <c r="M14" s="11" t="inlineStr">
        <is>
          <t>No</t>
        </is>
      </c>
      <c r="N14" s="11" t="inlineStr">
        <is>
          <t>-</t>
        </is>
      </c>
      <c r="O14" s="9" t="inlineStr">
        <is>
          <t>SDA-CRS-SDA-MGT-01</t>
        </is>
      </c>
      <c r="P14" s="10" t="inlineStr">
        <is>
          <t>SD Academy/08_SD_Academy/06_Management_Handbooks</t>
        </is>
      </c>
      <c r="Q14" s="10" t="inlineStr">
        <is>
          <t>SDG_SDAcademy_Management_Handbook_L4-L5_V1.0.pdf</t>
        </is>
      </c>
      <c r="R14" s="11" t="n">
        <v>1</v>
      </c>
      <c r="S14" s="9" t="inlineStr">
        <is>
          <t>PDF Final Checked</t>
        </is>
      </c>
      <c r="T14" s="11" t="inlineStr">
        <is>
          <t>High</t>
        </is>
      </c>
      <c r="U14" s="11" t="inlineStr">
        <is>
          <t>Wave 6</t>
        </is>
      </c>
      <c r="V14" s="9" t="inlineStr">
        <is>
          <t>Annual</t>
        </is>
      </c>
      <c r="W14" s="13" t="n">
        <v>46478</v>
      </c>
      <c r="X14" s="10" t="inlineStr"/>
    </row>
    <row r="15">
      <c r="A15" s="14" t="inlineStr">
        <is>
          <t>SDA-CMP-01</t>
        </is>
      </c>
      <c r="B15" s="15" t="inlineStr">
        <is>
          <t>Assessment, Quiz &amp; Certification Integrity Handbook</t>
        </is>
      </c>
      <c r="C15" s="14" t="inlineStr">
        <is>
          <t>SD Academy</t>
        </is>
      </c>
      <c r="D15" s="14" t="inlineStr">
        <is>
          <t>Certification</t>
        </is>
      </c>
      <c r="E15" s="14" t="inlineStr">
        <is>
          <t>Compliance Handbook</t>
        </is>
      </c>
      <c r="F15" s="16" t="inlineStr">
        <is>
          <t>L3-L5</t>
        </is>
      </c>
      <c r="G15" s="14" t="inlineStr">
        <is>
          <t>Internal</t>
        </is>
      </c>
      <c r="H15" s="14" t="inlineStr">
        <is>
          <t>Dept Head - SDA/Certification</t>
        </is>
      </c>
      <c r="I15" s="16" t="inlineStr">
        <is>
          <t>Yes</t>
        </is>
      </c>
      <c r="J15" s="12" t="inlineStr">
        <is>
          <t>Yes</t>
        </is>
      </c>
      <c r="K15" s="16" t="inlineStr">
        <is>
          <t>Yes</t>
        </is>
      </c>
      <c r="L15" s="16" t="inlineStr">
        <is>
          <t>Yes</t>
        </is>
      </c>
      <c r="M15" s="16" t="inlineStr">
        <is>
          <t>No</t>
        </is>
      </c>
      <c r="N15" s="16" t="inlineStr">
        <is>
          <t>-</t>
        </is>
      </c>
      <c r="O15" s="14" t="inlineStr">
        <is>
          <t>SDA-CRS-SDA-CMP-01</t>
        </is>
      </c>
      <c r="P15" s="15" t="inlineStr">
        <is>
          <t>SD Academy/08_SD_Academy/05_Compliance_Handbooks</t>
        </is>
      </c>
      <c r="Q15" s="15" t="inlineStr">
        <is>
          <t>SDG_SDAcademy_Assessment_Quiz_Certification_Integrity_Handbook_L3-L5_V1.0.pdf</t>
        </is>
      </c>
      <c r="R15" s="16" t="n">
        <v>1</v>
      </c>
      <c r="S15" s="14" t="inlineStr">
        <is>
          <t>PDF Final Checked</t>
        </is>
      </c>
      <c r="T15" s="16" t="inlineStr">
        <is>
          <t>Medium</t>
        </is>
      </c>
      <c r="U15" s="16" t="inlineStr">
        <is>
          <t>Wave 7</t>
        </is>
      </c>
      <c r="V15" s="14" t="inlineStr">
        <is>
          <t>Annual + on law change</t>
        </is>
      </c>
      <c r="W15" s="17" t="n">
        <v>46478</v>
      </c>
      <c r="X15" s="15" t="inlineStr">
        <is>
          <t>Anti-cheating and proctoring</t>
        </is>
      </c>
    </row>
    <row r="16">
      <c r="A16" s="9" t="inlineStr">
        <is>
          <t>SDA-CMP-02</t>
        </is>
      </c>
      <c r="B16" s="10" t="inlineStr">
        <is>
          <t>Student Data Privacy &amp; Records Handbook</t>
        </is>
      </c>
      <c r="C16" s="9" t="inlineStr">
        <is>
          <t>SD Academy</t>
        </is>
      </c>
      <c r="D16" s="9" t="inlineStr">
        <is>
          <t>Records</t>
        </is>
      </c>
      <c r="E16" s="9" t="inlineStr">
        <is>
          <t>Compliance Handbook</t>
        </is>
      </c>
      <c r="F16" s="11" t="inlineStr">
        <is>
          <t>L2-L5</t>
        </is>
      </c>
      <c r="G16" s="9" t="inlineStr">
        <is>
          <t>Internal</t>
        </is>
      </c>
      <c r="H16" s="9" t="inlineStr">
        <is>
          <t>Dept Head - SDA/Records</t>
        </is>
      </c>
      <c r="I16" s="11" t="inlineStr">
        <is>
          <t>Yes</t>
        </is>
      </c>
      <c r="J16" s="12" t="inlineStr">
        <is>
          <t>Yes</t>
        </is>
      </c>
      <c r="K16" s="11" t="inlineStr">
        <is>
          <t>Yes</t>
        </is>
      </c>
      <c r="L16" s="11" t="inlineStr">
        <is>
          <t>Yes</t>
        </is>
      </c>
      <c r="M16" s="18" t="inlineStr">
        <is>
          <t>Yes</t>
        </is>
      </c>
      <c r="N16" s="11" t="n">
        <v>80</v>
      </c>
      <c r="O16" s="9" t="inlineStr">
        <is>
          <t>SDA-CRS-SDA-CMP-02</t>
        </is>
      </c>
      <c r="P16" s="10" t="inlineStr">
        <is>
          <t>SD Academy/08_SD_Academy/05_Compliance_Handbooks</t>
        </is>
      </c>
      <c r="Q16" s="10" t="inlineStr">
        <is>
          <t>SDG_SDAcademy_Student_Data_Privacy_Records_Handbook_L2-L5_V1.0.pdf</t>
        </is>
      </c>
      <c r="R16" s="11" t="n">
        <v>1</v>
      </c>
      <c r="S16" s="9" t="inlineStr">
        <is>
          <t>PDF Final Checked</t>
        </is>
      </c>
      <c r="T16" s="11" t="inlineStr">
        <is>
          <t>Medium</t>
        </is>
      </c>
      <c r="U16" s="11" t="inlineStr">
        <is>
          <t>Wave 7</t>
        </is>
      </c>
      <c r="V16" s="9" t="inlineStr">
        <is>
          <t>Annual + on law change</t>
        </is>
      </c>
      <c r="W16" s="13" t="n">
        <v>46478</v>
      </c>
      <c r="X16" s="10" t="inlineStr">
        <is>
          <t>DPDP for learner records</t>
        </is>
      </c>
    </row>
    <row r="17">
      <c r="A17" s="14" t="inlineStr">
        <is>
          <t>SDA-DPT-04</t>
        </is>
      </c>
      <c r="B17" s="15" t="inlineStr">
        <is>
          <t>Certification Management, Issuance &amp; Verification Handbook</t>
        </is>
      </c>
      <c r="C17" s="14" t="inlineStr">
        <is>
          <t>SD Academy</t>
        </is>
      </c>
      <c r="D17" s="14" t="inlineStr">
        <is>
          <t>Certification</t>
        </is>
      </c>
      <c r="E17" s="14" t="inlineStr">
        <is>
          <t>Department Handbook</t>
        </is>
      </c>
      <c r="F17" s="16" t="inlineStr">
        <is>
          <t>L3-L5</t>
        </is>
      </c>
      <c r="G17" s="14" t="inlineStr">
        <is>
          <t>Internal</t>
        </is>
      </c>
      <c r="H17" s="14" t="inlineStr">
        <is>
          <t>Dept Head - SDA/Certification</t>
        </is>
      </c>
      <c r="I17" s="16" t="inlineStr">
        <is>
          <t>Yes</t>
        </is>
      </c>
      <c r="J17" s="12" t="inlineStr">
        <is>
          <t>Yes</t>
        </is>
      </c>
      <c r="K17" s="16" t="inlineStr">
        <is>
          <t>Yes</t>
        </is>
      </c>
      <c r="L17" s="16" t="inlineStr">
        <is>
          <t>Yes</t>
        </is>
      </c>
      <c r="M17" s="16" t="inlineStr">
        <is>
          <t>No</t>
        </is>
      </c>
      <c r="N17" s="16" t="inlineStr">
        <is>
          <t>-</t>
        </is>
      </c>
      <c r="O17" s="14" t="inlineStr">
        <is>
          <t>SDA-CRS-SDA-DPT-04</t>
        </is>
      </c>
      <c r="P17" s="15" t="inlineStr">
        <is>
          <t>SD Academy/08_SD_Academy/03_Department_Handbooks</t>
        </is>
      </c>
      <c r="Q17" s="15" t="inlineStr">
        <is>
          <t>SDG_SDAcademy_Certification_Management_Issuance_Verification_Handbook_L3-L5_V1.0.pdf</t>
        </is>
      </c>
      <c r="R17" s="16" t="n">
        <v>1</v>
      </c>
      <c r="S17" s="14" t="inlineStr">
        <is>
          <t>PDF Final Checked</t>
        </is>
      </c>
      <c r="T17" s="16" t="inlineStr">
        <is>
          <t>Medium</t>
        </is>
      </c>
      <c r="U17" s="16" t="inlineStr">
        <is>
          <t>Wave 7</t>
        </is>
      </c>
      <c r="V17" s="14" t="inlineStr">
        <is>
          <t>Annual + on law change</t>
        </is>
      </c>
      <c r="W17" s="17" t="n">
        <v>46478</v>
      </c>
      <c r="X17" s="15" t="inlineStr"/>
    </row>
    <row r="18">
      <c r="A18" s="9" t="inlineStr">
        <is>
          <t>SDA-SOP-01</t>
        </is>
      </c>
      <c r="B18" s="10" t="inlineStr">
        <is>
          <t>LMS &amp; Portal Administration Handbook</t>
        </is>
      </c>
      <c r="C18" s="9" t="inlineStr">
        <is>
          <t>SD Academy</t>
        </is>
      </c>
      <c r="D18" s="9" t="inlineStr">
        <is>
          <t>LMS</t>
        </is>
      </c>
      <c r="E18" s="9" t="inlineStr">
        <is>
          <t>SOP Handbook</t>
        </is>
      </c>
      <c r="F18" s="11" t="inlineStr">
        <is>
          <t>L3-L5</t>
        </is>
      </c>
      <c r="G18" s="9" t="inlineStr">
        <is>
          <t>Internal</t>
        </is>
      </c>
      <c r="H18" s="9" t="inlineStr">
        <is>
          <t>Dept Head - SDA/LMS</t>
        </is>
      </c>
      <c r="I18" s="11" t="inlineStr">
        <is>
          <t>Yes</t>
        </is>
      </c>
      <c r="J18" s="11" t="inlineStr">
        <is>
          <t>No</t>
        </is>
      </c>
      <c r="K18" s="11" t="inlineStr">
        <is>
          <t>Yes</t>
        </is>
      </c>
      <c r="L18" s="11" t="inlineStr">
        <is>
          <t>No</t>
        </is>
      </c>
      <c r="M18" s="11" t="inlineStr">
        <is>
          <t>No</t>
        </is>
      </c>
      <c r="N18" s="11" t="inlineStr">
        <is>
          <t>-</t>
        </is>
      </c>
      <c r="O18" s="9" t="inlineStr">
        <is>
          <t>SDA-CRS-SDA-SOP-01</t>
        </is>
      </c>
      <c r="P18" s="10" t="inlineStr">
        <is>
          <t>SD Academy/08_SD_Academy/04_SOP_Handbooks</t>
        </is>
      </c>
      <c r="Q18" s="10" t="inlineStr">
        <is>
          <t>SDG_SDAcademy_LMS_Portal_Administration_Handbook_L3-L5_V1.0.pdf</t>
        </is>
      </c>
      <c r="R18" s="11" t="n">
        <v>1</v>
      </c>
      <c r="S18" s="9" t="inlineStr">
        <is>
          <t>PDF Final Checked</t>
        </is>
      </c>
      <c r="T18" s="11" t="inlineStr">
        <is>
          <t>Medium</t>
        </is>
      </c>
      <c r="U18" s="11" t="inlineStr">
        <is>
          <t>Wave 7</t>
        </is>
      </c>
      <c r="V18" s="9" t="inlineStr">
        <is>
          <t>Half-yearly</t>
        </is>
      </c>
      <c r="W18" s="13" t="n">
        <v>46388</v>
      </c>
      <c r="X18" s="10" t="inlineStr"/>
    </row>
    <row r="19">
      <c r="A19" s="14" t="inlineStr">
        <is>
          <t>SDA-SOP-02</t>
        </is>
      </c>
      <c r="B19" s="15" t="inlineStr">
        <is>
          <t>Trainer Evaluation &amp; Quality Audit Handbook</t>
        </is>
      </c>
      <c r="C19" s="14" t="inlineStr">
        <is>
          <t>SD Academy</t>
        </is>
      </c>
      <c r="D19" s="14" t="inlineStr">
        <is>
          <t>Faculty</t>
        </is>
      </c>
      <c r="E19" s="14" t="inlineStr">
        <is>
          <t>SOP Handbook</t>
        </is>
      </c>
      <c r="F19" s="16" t="inlineStr">
        <is>
          <t>L4-L5</t>
        </is>
      </c>
      <c r="G19" s="14" t="inlineStr">
        <is>
          <t>Restricted</t>
        </is>
      </c>
      <c r="H19" s="14" t="inlineStr">
        <is>
          <t>Dept Head - SDA/Faculty</t>
        </is>
      </c>
      <c r="I19" s="16" t="inlineStr">
        <is>
          <t>Yes</t>
        </is>
      </c>
      <c r="J19" s="16" t="inlineStr">
        <is>
          <t>No</t>
        </is>
      </c>
      <c r="K19" s="16" t="inlineStr">
        <is>
          <t>Yes</t>
        </is>
      </c>
      <c r="L19" s="16" t="inlineStr">
        <is>
          <t>No</t>
        </is>
      </c>
      <c r="M19" s="16" t="inlineStr">
        <is>
          <t>No</t>
        </is>
      </c>
      <c r="N19" s="16" t="inlineStr">
        <is>
          <t>-</t>
        </is>
      </c>
      <c r="O19" s="14" t="inlineStr">
        <is>
          <t>SDA-CRS-SDA-SOP-02</t>
        </is>
      </c>
      <c r="P19" s="15" t="inlineStr">
        <is>
          <t>SD Academy/08_SD_Academy/04_SOP_Handbooks</t>
        </is>
      </c>
      <c r="Q19" s="15" t="inlineStr">
        <is>
          <t>SDG_SDAcademy_Trainer_Evaluation_Quality_Audit_Handbook_L4-L5_V1.0.pdf</t>
        </is>
      </c>
      <c r="R19" s="16" t="n">
        <v>1</v>
      </c>
      <c r="S19" s="14" t="inlineStr">
        <is>
          <t>PDF Final Checked</t>
        </is>
      </c>
      <c r="T19" s="16" t="inlineStr">
        <is>
          <t>Medium</t>
        </is>
      </c>
      <c r="U19" s="16" t="inlineStr">
        <is>
          <t>Wave 7</t>
        </is>
      </c>
      <c r="V19" s="14" t="inlineStr">
        <is>
          <t>Half-yearly</t>
        </is>
      </c>
      <c r="W19" s="17" t="n">
        <v>46388</v>
      </c>
      <c r="X19" s="15" t="inlineStr"/>
    </row>
    <row r="20">
      <c r="A20" s="9" t="inlineStr">
        <is>
          <t>SDA-SOP-03</t>
        </is>
      </c>
      <c r="B20" s="10" t="inlineStr">
        <is>
          <t>Course Creation &amp; Content Approval Handbook</t>
        </is>
      </c>
      <c r="C20" s="9" t="inlineStr">
        <is>
          <t>SD Academy</t>
        </is>
      </c>
      <c r="D20" s="9" t="inlineStr">
        <is>
          <t>Curriculum</t>
        </is>
      </c>
      <c r="E20" s="9" t="inlineStr">
        <is>
          <t>SOP Handbook</t>
        </is>
      </c>
      <c r="F20" s="11" t="inlineStr">
        <is>
          <t>L3-L5</t>
        </is>
      </c>
      <c r="G20" s="9" t="inlineStr">
        <is>
          <t>Internal</t>
        </is>
      </c>
      <c r="H20" s="9" t="inlineStr">
        <is>
          <t>Dept Head - SDA/Curriculum</t>
        </is>
      </c>
      <c r="I20" s="11" t="inlineStr">
        <is>
          <t>Yes</t>
        </is>
      </c>
      <c r="J20" s="11" t="inlineStr">
        <is>
          <t>No</t>
        </is>
      </c>
      <c r="K20" s="11" t="inlineStr">
        <is>
          <t>Yes</t>
        </is>
      </c>
      <c r="L20" s="11" t="inlineStr">
        <is>
          <t>No</t>
        </is>
      </c>
      <c r="M20" s="11" t="inlineStr">
        <is>
          <t>No</t>
        </is>
      </c>
      <c r="N20" s="11" t="inlineStr">
        <is>
          <t>-</t>
        </is>
      </c>
      <c r="O20" s="9" t="inlineStr">
        <is>
          <t>SDA-CRS-SDA-SOP-03</t>
        </is>
      </c>
      <c r="P20" s="10" t="inlineStr">
        <is>
          <t>SD Academy/08_SD_Academy/04_SOP_Handbooks</t>
        </is>
      </c>
      <c r="Q20" s="10" t="inlineStr">
        <is>
          <t>SDG_SDAcademy_Course_Creation_Content_Approval_Handbook_L3-L5_V1.0.pdf</t>
        </is>
      </c>
      <c r="R20" s="11" t="n">
        <v>1</v>
      </c>
      <c r="S20" s="9" t="inlineStr">
        <is>
          <t>PDF Final Checked</t>
        </is>
      </c>
      <c r="T20" s="11" t="inlineStr">
        <is>
          <t>Medium</t>
        </is>
      </c>
      <c r="U20" s="11" t="inlineStr">
        <is>
          <t>Wave 7</t>
        </is>
      </c>
      <c r="V20" s="9" t="inlineStr">
        <is>
          <t>Half-yearly</t>
        </is>
      </c>
      <c r="W20" s="13" t="n">
        <v>46388</v>
      </c>
      <c r="X20" s="10" t="inlineStr"/>
    </row>
    <row r="21">
      <c r="A21" s="14" t="inlineStr">
        <is>
          <t>SDA-SOP-04</t>
        </is>
      </c>
      <c r="B21" s="15" t="inlineStr">
        <is>
          <t>Internal Training Attendance &amp; Completion Handbook</t>
        </is>
      </c>
      <c r="C21" s="14" t="inlineStr">
        <is>
          <t>SD Academy</t>
        </is>
      </c>
      <c r="D21" s="14" t="inlineStr">
        <is>
          <t>Operations</t>
        </is>
      </c>
      <c r="E21" s="14" t="inlineStr">
        <is>
          <t>SOP Handbook</t>
        </is>
      </c>
      <c r="F21" s="16" t="inlineStr">
        <is>
          <t>L2-L5</t>
        </is>
      </c>
      <c r="G21" s="14" t="inlineStr">
        <is>
          <t>Internal</t>
        </is>
      </c>
      <c r="H21" s="14" t="inlineStr">
        <is>
          <t>Dept Head - SDA/Operations</t>
        </is>
      </c>
      <c r="I21" s="16" t="inlineStr">
        <is>
          <t>Yes</t>
        </is>
      </c>
      <c r="J21" s="16" t="inlineStr">
        <is>
          <t>No</t>
        </is>
      </c>
      <c r="K21" s="16" t="inlineStr">
        <is>
          <t>Yes</t>
        </is>
      </c>
      <c r="L21" s="16" t="inlineStr">
        <is>
          <t>No</t>
        </is>
      </c>
      <c r="M21" s="16" t="inlineStr">
        <is>
          <t>No</t>
        </is>
      </c>
      <c r="N21" s="16" t="inlineStr">
        <is>
          <t>-</t>
        </is>
      </c>
      <c r="O21" s="14" t="inlineStr">
        <is>
          <t>SDA-CRS-SDA-SOP-04</t>
        </is>
      </c>
      <c r="P21" s="15" t="inlineStr">
        <is>
          <t>SD Academy/08_SD_Academy/04_SOP_Handbooks</t>
        </is>
      </c>
      <c r="Q21" s="15" t="inlineStr">
        <is>
          <t>SDG_SDAcademy_Internal_Training_Attendance_Completion_Handbook_L2-L5_V1.0.pdf</t>
        </is>
      </c>
      <c r="R21" s="16" t="n">
        <v>1</v>
      </c>
      <c r="S21" s="14" t="inlineStr">
        <is>
          <t>PDF Final Checked</t>
        </is>
      </c>
      <c r="T21" s="16" t="inlineStr">
        <is>
          <t>Medium</t>
        </is>
      </c>
      <c r="U21" s="16" t="inlineStr">
        <is>
          <t>Wave 7</t>
        </is>
      </c>
      <c r="V21" s="14" t="inlineStr">
        <is>
          <t>Half-yearly</t>
        </is>
      </c>
      <c r="W21" s="17" t="n">
        <v>46388</v>
      </c>
      <c r="X21" s="15" t="inlineStr"/>
    </row>
    <row r="22">
      <c r="A22" s="9" t="inlineStr">
        <is>
          <t>SDA-SOP-05</t>
        </is>
      </c>
      <c r="B22" s="10" t="inlineStr">
        <is>
          <t>Academy Feedback &amp; Improvement Handbook</t>
        </is>
      </c>
      <c r="C22" s="9" t="inlineStr">
        <is>
          <t>SD Academy</t>
        </is>
      </c>
      <c r="D22" s="9" t="inlineStr">
        <is>
          <t>Operations</t>
        </is>
      </c>
      <c r="E22" s="9" t="inlineStr">
        <is>
          <t>SOP Handbook</t>
        </is>
      </c>
      <c r="F22" s="11" t="inlineStr">
        <is>
          <t>L2-L5</t>
        </is>
      </c>
      <c r="G22" s="9" t="inlineStr">
        <is>
          <t>Internal</t>
        </is>
      </c>
      <c r="H22" s="9" t="inlineStr">
        <is>
          <t>Dept Head - SDA/Operations</t>
        </is>
      </c>
      <c r="I22" s="11" t="inlineStr">
        <is>
          <t>Yes</t>
        </is>
      </c>
      <c r="J22" s="11" t="inlineStr">
        <is>
          <t>No</t>
        </is>
      </c>
      <c r="K22" s="11" t="inlineStr">
        <is>
          <t>Yes</t>
        </is>
      </c>
      <c r="L22" s="11" t="inlineStr">
        <is>
          <t>No</t>
        </is>
      </c>
      <c r="M22" s="11" t="inlineStr">
        <is>
          <t>No</t>
        </is>
      </c>
      <c r="N22" s="11" t="inlineStr">
        <is>
          <t>-</t>
        </is>
      </c>
      <c r="O22" s="9" t="inlineStr">
        <is>
          <t>SDA-CRS-SDA-SOP-05</t>
        </is>
      </c>
      <c r="P22" s="10" t="inlineStr">
        <is>
          <t>SD Academy/08_SD_Academy/04_SOP_Handbooks</t>
        </is>
      </c>
      <c r="Q22" s="10" t="inlineStr">
        <is>
          <t>SDG_SDAcademy_Academy_Feedback_Improvement_Handbook_L2-L5_V1.0.pdf</t>
        </is>
      </c>
      <c r="R22" s="11" t="n">
        <v>1</v>
      </c>
      <c r="S22" s="9" t="inlineStr">
        <is>
          <t>PDF Final Checked</t>
        </is>
      </c>
      <c r="T22" s="11" t="inlineStr">
        <is>
          <t>Medium</t>
        </is>
      </c>
      <c r="U22" s="11" t="inlineStr">
        <is>
          <t>Wave 7</t>
        </is>
      </c>
      <c r="V22" s="9" t="inlineStr">
        <is>
          <t>Half-yearly</t>
        </is>
      </c>
      <c r="W22" s="13" t="n">
        <v>46388</v>
      </c>
      <c r="X22" s="10" t="inlineStr"/>
    </row>
  </sheetData>
  <autoFilter ref="A5:X22"/>
  <dataValidations count="1">
    <dataValidation sqref="S6:S22" showDropDown="0" showInputMessage="0" showErrorMessage="0" allowBlank="1" error="Pick a status from the Status_Flow list." type="list">
      <formula1>"Not Started,Draft Content Created,HR Review Pending,HR Approved,Legal Review Pending,Legal Approved,Management Review Pending,Management Approved,PDF Designed,PDF Final Checked,Uploaded to SD Academy,Access Tagged,Acknowledgement Campaign Live,Employee Acknowledgement Completed,Archived / Superseded"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SD GROUP - EMPLOYEE HANDBOOK REGISTER</t>
        </is>
      </c>
    </row>
    <row r="2">
      <c r="A2" s="2" t="inlineStr">
        <is>
          <t>SD ACADEMY - LEVEL MATRIX (L1-L5)</t>
        </is>
      </c>
    </row>
    <row r="3">
      <c r="A3" s="3" t="inlineStr">
        <is>
          <t>Cumulative: each level includes every level below it. Yes = the book sits in that level's path for people in scope.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Access Band</t>
        </is>
      </c>
      <c r="G5" s="5" t="inlineStr">
        <is>
          <t>Min Level</t>
        </is>
      </c>
      <c r="H5" s="5" t="inlineStr">
        <is>
          <t>L1</t>
        </is>
      </c>
      <c r="I5" s="5" t="inlineStr">
        <is>
          <t>L2</t>
        </is>
      </c>
      <c r="J5" s="5" t="inlineStr">
        <is>
          <t>L3</t>
        </is>
      </c>
      <c r="K5" s="5" t="inlineStr">
        <is>
          <t>L4</t>
        </is>
      </c>
      <c r="L5" s="5" t="inlineStr">
        <is>
          <t>L5</t>
        </is>
      </c>
    </row>
    <row r="6">
      <c r="A6" s="19" t="inlineStr">
        <is>
          <t>SDA-BRD-01</t>
        </is>
      </c>
      <c r="B6" s="20" t="inlineStr">
        <is>
          <t>SD Academy Handbook</t>
        </is>
      </c>
      <c r="C6" s="19" t="inlineStr">
        <is>
          <t>SD Academy</t>
        </is>
      </c>
      <c r="D6" s="19" t="inlineStr">
        <is>
          <t>Academy-wide</t>
        </is>
      </c>
      <c r="E6" s="19" t="inlineStr">
        <is>
          <t>Company / Division Handbook</t>
        </is>
      </c>
      <c r="F6" s="19" t="inlineStr">
        <is>
          <t>L1-L5</t>
        </is>
      </c>
      <c r="G6" s="21" t="inlineStr">
        <is>
          <t>L1</t>
        </is>
      </c>
      <c r="H6" s="22" t="inlineStr">
        <is>
          <t>Yes</t>
        </is>
      </c>
      <c r="I6" s="22" t="inlineStr">
        <is>
          <t>Yes</t>
        </is>
      </c>
      <c r="J6" s="22" t="inlineStr">
        <is>
          <t>Yes</t>
        </is>
      </c>
      <c r="K6" s="22" t="inlineStr">
        <is>
          <t>Yes</t>
        </is>
      </c>
      <c r="L6" s="22" t="inlineStr">
        <is>
          <t>Yes</t>
        </is>
      </c>
    </row>
    <row r="7">
      <c r="A7" s="19" t="inlineStr">
        <is>
          <t>SDA-DPT-01</t>
        </is>
      </c>
      <c r="B7" s="20" t="inlineStr">
        <is>
          <t>Learning &amp; Development Handbook</t>
        </is>
      </c>
      <c r="C7" s="19" t="inlineStr">
        <is>
          <t>SD Academy</t>
        </is>
      </c>
      <c r="D7" s="19" t="inlineStr">
        <is>
          <t>L&amp;D</t>
        </is>
      </c>
      <c r="E7" s="19" t="inlineStr">
        <is>
          <t>Department Handbook</t>
        </is>
      </c>
      <c r="F7" s="19" t="inlineStr">
        <is>
          <t>L1-L5</t>
        </is>
      </c>
      <c r="G7" s="21" t="inlineStr">
        <is>
          <t>L1</t>
        </is>
      </c>
      <c r="H7" s="22" t="inlineStr">
        <is>
          <t>Yes</t>
        </is>
      </c>
      <c r="I7" s="22" t="inlineStr">
        <is>
          <t>Yes</t>
        </is>
      </c>
      <c r="J7" s="22" t="inlineStr">
        <is>
          <t>Yes</t>
        </is>
      </c>
      <c r="K7" s="22" t="inlineStr">
        <is>
          <t>Yes</t>
        </is>
      </c>
      <c r="L7" s="22" t="inlineStr">
        <is>
          <t>Yes</t>
        </is>
      </c>
    </row>
    <row r="8">
      <c r="A8" s="19" t="inlineStr">
        <is>
          <t>SDA-DPT-02</t>
        </is>
      </c>
      <c r="B8" s="20" t="inlineStr">
        <is>
          <t>Curriculum Development Handbook</t>
        </is>
      </c>
      <c r="C8" s="19" t="inlineStr">
        <is>
          <t>SD Academy</t>
        </is>
      </c>
      <c r="D8" s="19" t="inlineStr">
        <is>
          <t>Curriculum</t>
        </is>
      </c>
      <c r="E8" s="19" t="inlineStr">
        <is>
          <t>Department Handbook</t>
        </is>
      </c>
      <c r="F8" s="19" t="inlineStr">
        <is>
          <t>L1-L5</t>
        </is>
      </c>
      <c r="G8" s="21" t="inlineStr">
        <is>
          <t>L1</t>
        </is>
      </c>
      <c r="H8" s="22" t="inlineStr">
        <is>
          <t>Yes</t>
        </is>
      </c>
      <c r="I8" s="22" t="inlineStr">
        <is>
          <t>Yes</t>
        </is>
      </c>
      <c r="J8" s="22" t="inlineStr">
        <is>
          <t>Yes</t>
        </is>
      </c>
      <c r="K8" s="22" t="inlineStr">
        <is>
          <t>Yes</t>
        </is>
      </c>
      <c r="L8" s="22" t="inlineStr">
        <is>
          <t>Yes</t>
        </is>
      </c>
    </row>
    <row r="9">
      <c r="A9" s="19" t="inlineStr">
        <is>
          <t>SDA-DPT-03</t>
        </is>
      </c>
      <c r="B9" s="20" t="inlineStr">
        <is>
          <t>Faculty Handbook</t>
        </is>
      </c>
      <c r="C9" s="19" t="inlineStr">
        <is>
          <t>SD Academy</t>
        </is>
      </c>
      <c r="D9" s="19" t="inlineStr">
        <is>
          <t>Faculty</t>
        </is>
      </c>
      <c r="E9" s="19" t="inlineStr">
        <is>
          <t>Department Handbook</t>
        </is>
      </c>
      <c r="F9" s="19" t="inlineStr">
        <is>
          <t>L1-L5</t>
        </is>
      </c>
      <c r="G9" s="21" t="inlineStr">
        <is>
          <t>L1</t>
        </is>
      </c>
      <c r="H9" s="22" t="inlineStr">
        <is>
          <t>Yes</t>
        </is>
      </c>
      <c r="I9" s="22" t="inlineStr">
        <is>
          <t>Yes</t>
        </is>
      </c>
      <c r="J9" s="22" t="inlineStr">
        <is>
          <t>Yes</t>
        </is>
      </c>
      <c r="K9" s="22" t="inlineStr">
        <is>
          <t>Yes</t>
        </is>
      </c>
      <c r="L9" s="22" t="inlineStr">
        <is>
          <t>Yes</t>
        </is>
      </c>
    </row>
    <row r="10">
      <c r="A10" s="19" t="inlineStr">
        <is>
          <t>SDA-DPT-05</t>
        </is>
      </c>
      <c r="B10" s="20" t="inlineStr">
        <is>
          <t>Student Relations Handbook</t>
        </is>
      </c>
      <c r="C10" s="19" t="inlineStr">
        <is>
          <t>SD Academy</t>
        </is>
      </c>
      <c r="D10" s="19" t="inlineStr">
        <is>
          <t>Student Relations</t>
        </is>
      </c>
      <c r="E10" s="19" t="inlineStr">
        <is>
          <t>Department Handbook</t>
        </is>
      </c>
      <c r="F10" s="19" t="inlineStr">
        <is>
          <t>L1-L5</t>
        </is>
      </c>
      <c r="G10" s="21" t="inlineStr">
        <is>
          <t>L1</t>
        </is>
      </c>
      <c r="H10" s="22" t="inlineStr">
        <is>
          <t>Yes</t>
        </is>
      </c>
      <c r="I10" s="22" t="inlineStr">
        <is>
          <t>Yes</t>
        </is>
      </c>
      <c r="J10" s="22" t="inlineStr">
        <is>
          <t>Yes</t>
        </is>
      </c>
      <c r="K10" s="22" t="inlineStr">
        <is>
          <t>Yes</t>
        </is>
      </c>
      <c r="L10" s="22" t="inlineStr">
        <is>
          <t>Yes</t>
        </is>
      </c>
    </row>
    <row r="11">
      <c r="A11" s="19" t="inlineStr">
        <is>
          <t>SDA-DPT-06</t>
        </is>
      </c>
      <c r="B11" s="20" t="inlineStr">
        <is>
          <t>Placement Cell Handbook</t>
        </is>
      </c>
      <c r="C11" s="19" t="inlineStr">
        <is>
          <t>SD Academy</t>
        </is>
      </c>
      <c r="D11" s="19" t="inlineStr">
        <is>
          <t>Placement</t>
        </is>
      </c>
      <c r="E11" s="19" t="inlineStr">
        <is>
          <t>Department Handbook</t>
        </is>
      </c>
      <c r="F11" s="19" t="inlineStr">
        <is>
          <t>L1-L5</t>
        </is>
      </c>
      <c r="G11" s="21" t="inlineStr">
        <is>
          <t>L1</t>
        </is>
      </c>
      <c r="H11" s="22" t="inlineStr">
        <is>
          <t>Yes</t>
        </is>
      </c>
      <c r="I11" s="22" t="inlineStr">
        <is>
          <t>Yes</t>
        </is>
      </c>
      <c r="J11" s="22" t="inlineStr">
        <is>
          <t>Yes</t>
        </is>
      </c>
      <c r="K11" s="22" t="inlineStr">
        <is>
          <t>Yes</t>
        </is>
      </c>
      <c r="L11" s="22" t="inlineStr">
        <is>
          <t>Yes</t>
        </is>
      </c>
    </row>
    <row r="12">
      <c r="A12" s="19" t="inlineStr">
        <is>
          <t>SDA-DPT-07</t>
        </is>
      </c>
      <c r="B12" s="20" t="inlineStr">
        <is>
          <t>Operations Handbook</t>
        </is>
      </c>
      <c r="C12" s="19" t="inlineStr">
        <is>
          <t>SD Academy</t>
        </is>
      </c>
      <c r="D12" s="19" t="inlineStr">
        <is>
          <t>Operations</t>
        </is>
      </c>
      <c r="E12" s="19" t="inlineStr">
        <is>
          <t>Department Handbook</t>
        </is>
      </c>
      <c r="F12" s="19" t="inlineStr">
        <is>
          <t>L1-L5</t>
        </is>
      </c>
      <c r="G12" s="21" t="inlineStr">
        <is>
          <t>L1</t>
        </is>
      </c>
      <c r="H12" s="22" t="inlineStr">
        <is>
          <t>Yes</t>
        </is>
      </c>
      <c r="I12" s="22" t="inlineStr">
        <is>
          <t>Yes</t>
        </is>
      </c>
      <c r="J12" s="22" t="inlineStr">
        <is>
          <t>Yes</t>
        </is>
      </c>
      <c r="K12" s="22" t="inlineStr">
        <is>
          <t>Yes</t>
        </is>
      </c>
      <c r="L12" s="22" t="inlineStr">
        <is>
          <t>Yes</t>
        </is>
      </c>
    </row>
    <row r="13">
      <c r="A13" s="19" t="inlineStr">
        <is>
          <t>SDA-CMP-02</t>
        </is>
      </c>
      <c r="B13" s="20" t="inlineStr">
        <is>
          <t>Student Data Privacy &amp; Records Handbook</t>
        </is>
      </c>
      <c r="C13" s="19" t="inlineStr">
        <is>
          <t>SD Academy</t>
        </is>
      </c>
      <c r="D13" s="19" t="inlineStr">
        <is>
          <t>Records</t>
        </is>
      </c>
      <c r="E13" s="19" t="inlineStr">
        <is>
          <t>Compliance Handbook</t>
        </is>
      </c>
      <c r="F13" s="19" t="inlineStr">
        <is>
          <t>L2-L5</t>
        </is>
      </c>
      <c r="G13" s="21" t="inlineStr">
        <is>
          <t>L2</t>
        </is>
      </c>
      <c r="H13" s="23" t="inlineStr">
        <is>
          <t>-</t>
        </is>
      </c>
      <c r="I13" s="22" t="inlineStr">
        <is>
          <t>Yes</t>
        </is>
      </c>
      <c r="J13" s="22" t="inlineStr">
        <is>
          <t>Yes</t>
        </is>
      </c>
      <c r="K13" s="22" t="inlineStr">
        <is>
          <t>Yes</t>
        </is>
      </c>
      <c r="L13" s="22" t="inlineStr">
        <is>
          <t>Yes</t>
        </is>
      </c>
    </row>
    <row r="14">
      <c r="A14" s="19" t="inlineStr">
        <is>
          <t>SDA-SOP-04</t>
        </is>
      </c>
      <c r="B14" s="20" t="inlineStr">
        <is>
          <t>Internal Training Attendance &amp; Completion Handbook</t>
        </is>
      </c>
      <c r="C14" s="19" t="inlineStr">
        <is>
          <t>SD Academy</t>
        </is>
      </c>
      <c r="D14" s="19" t="inlineStr">
        <is>
          <t>Operations</t>
        </is>
      </c>
      <c r="E14" s="19" t="inlineStr">
        <is>
          <t>SOP Handbook</t>
        </is>
      </c>
      <c r="F14" s="19" t="inlineStr">
        <is>
          <t>L2-L5</t>
        </is>
      </c>
      <c r="G14" s="21" t="inlineStr">
        <is>
          <t>L2</t>
        </is>
      </c>
      <c r="H14" s="23" t="inlineStr">
        <is>
          <t>-</t>
        </is>
      </c>
      <c r="I14" s="22" t="inlineStr">
        <is>
          <t>Yes</t>
        </is>
      </c>
      <c r="J14" s="22" t="inlineStr">
        <is>
          <t>Yes</t>
        </is>
      </c>
      <c r="K14" s="22" t="inlineStr">
        <is>
          <t>Yes</t>
        </is>
      </c>
      <c r="L14" s="22" t="inlineStr">
        <is>
          <t>Yes</t>
        </is>
      </c>
    </row>
    <row r="15">
      <c r="A15" s="19" t="inlineStr">
        <is>
          <t>SDA-SOP-05</t>
        </is>
      </c>
      <c r="B15" s="20" t="inlineStr">
        <is>
          <t>Academy Feedback &amp; Improvement Handbook</t>
        </is>
      </c>
      <c r="C15" s="19" t="inlineStr">
        <is>
          <t>SD Academy</t>
        </is>
      </c>
      <c r="D15" s="19" t="inlineStr">
        <is>
          <t>Operations</t>
        </is>
      </c>
      <c r="E15" s="19" t="inlineStr">
        <is>
          <t>SOP Handbook</t>
        </is>
      </c>
      <c r="F15" s="19" t="inlineStr">
        <is>
          <t>L2-L5</t>
        </is>
      </c>
      <c r="G15" s="21" t="inlineStr">
        <is>
          <t>L2</t>
        </is>
      </c>
      <c r="H15" s="23" t="inlineStr">
        <is>
          <t>-</t>
        </is>
      </c>
      <c r="I15" s="22" t="inlineStr">
        <is>
          <t>Yes</t>
        </is>
      </c>
      <c r="J15" s="22" t="inlineStr">
        <is>
          <t>Yes</t>
        </is>
      </c>
      <c r="K15" s="22" t="inlineStr">
        <is>
          <t>Yes</t>
        </is>
      </c>
      <c r="L15" s="22" t="inlineStr">
        <is>
          <t>Yes</t>
        </is>
      </c>
    </row>
    <row r="16">
      <c r="A16" s="19" t="inlineStr">
        <is>
          <t>SDA-CMP-01</t>
        </is>
      </c>
      <c r="B16" s="20" t="inlineStr">
        <is>
          <t>Assessment, Quiz &amp; Certification Integrity Handbook</t>
        </is>
      </c>
      <c r="C16" s="19" t="inlineStr">
        <is>
          <t>SD Academy</t>
        </is>
      </c>
      <c r="D16" s="19" t="inlineStr">
        <is>
          <t>Certification</t>
        </is>
      </c>
      <c r="E16" s="19" t="inlineStr">
        <is>
          <t>Compliance Handbook</t>
        </is>
      </c>
      <c r="F16" s="19" t="inlineStr">
        <is>
          <t>L3-L5</t>
        </is>
      </c>
      <c r="G16" s="21" t="inlineStr">
        <is>
          <t>L3</t>
        </is>
      </c>
      <c r="H16" s="23" t="inlineStr">
        <is>
          <t>-</t>
        </is>
      </c>
      <c r="I16" s="23" t="inlineStr">
        <is>
          <t>-</t>
        </is>
      </c>
      <c r="J16" s="22" t="inlineStr">
        <is>
          <t>Yes</t>
        </is>
      </c>
      <c r="K16" s="22" t="inlineStr">
        <is>
          <t>Yes</t>
        </is>
      </c>
      <c r="L16" s="22" t="inlineStr">
        <is>
          <t>Yes</t>
        </is>
      </c>
    </row>
    <row r="17">
      <c r="A17" s="19" t="inlineStr">
        <is>
          <t>SDA-DPT-04</t>
        </is>
      </c>
      <c r="B17" s="20" t="inlineStr">
        <is>
          <t>Certification Management, Issuance &amp; Verification Handbook</t>
        </is>
      </c>
      <c r="C17" s="19" t="inlineStr">
        <is>
          <t>SD Academy</t>
        </is>
      </c>
      <c r="D17" s="19" t="inlineStr">
        <is>
          <t>Certification</t>
        </is>
      </c>
      <c r="E17" s="19" t="inlineStr">
        <is>
          <t>Department Handbook</t>
        </is>
      </c>
      <c r="F17" s="19" t="inlineStr">
        <is>
          <t>L3-L5</t>
        </is>
      </c>
      <c r="G17" s="21" t="inlineStr">
        <is>
          <t>L3</t>
        </is>
      </c>
      <c r="H17" s="23" t="inlineStr">
        <is>
          <t>-</t>
        </is>
      </c>
      <c r="I17" s="23" t="inlineStr">
        <is>
          <t>-</t>
        </is>
      </c>
      <c r="J17" s="22" t="inlineStr">
        <is>
          <t>Yes</t>
        </is>
      </c>
      <c r="K17" s="22" t="inlineStr">
        <is>
          <t>Yes</t>
        </is>
      </c>
      <c r="L17" s="22" t="inlineStr">
        <is>
          <t>Yes</t>
        </is>
      </c>
    </row>
    <row r="18">
      <c r="A18" s="19" t="inlineStr">
        <is>
          <t>SDA-SOP-01</t>
        </is>
      </c>
      <c r="B18" s="20" t="inlineStr">
        <is>
          <t>LMS &amp; Portal Administration Handbook</t>
        </is>
      </c>
      <c r="C18" s="19" t="inlineStr">
        <is>
          <t>SD Academy</t>
        </is>
      </c>
      <c r="D18" s="19" t="inlineStr">
        <is>
          <t>LMS</t>
        </is>
      </c>
      <c r="E18" s="19" t="inlineStr">
        <is>
          <t>SOP Handbook</t>
        </is>
      </c>
      <c r="F18" s="19" t="inlineStr">
        <is>
          <t>L3-L5</t>
        </is>
      </c>
      <c r="G18" s="21" t="inlineStr">
        <is>
          <t>L3</t>
        </is>
      </c>
      <c r="H18" s="23" t="inlineStr">
        <is>
          <t>-</t>
        </is>
      </c>
      <c r="I18" s="23" t="inlineStr">
        <is>
          <t>-</t>
        </is>
      </c>
      <c r="J18" s="22" t="inlineStr">
        <is>
          <t>Yes</t>
        </is>
      </c>
      <c r="K18" s="22" t="inlineStr">
        <is>
          <t>Yes</t>
        </is>
      </c>
      <c r="L18" s="22" t="inlineStr">
        <is>
          <t>Yes</t>
        </is>
      </c>
    </row>
    <row r="19">
      <c r="A19" s="19" t="inlineStr">
        <is>
          <t>SDA-SOP-03</t>
        </is>
      </c>
      <c r="B19" s="20" t="inlineStr">
        <is>
          <t>Course Creation &amp; Content Approval Handbook</t>
        </is>
      </c>
      <c r="C19" s="19" t="inlineStr">
        <is>
          <t>SD Academy</t>
        </is>
      </c>
      <c r="D19" s="19" t="inlineStr">
        <is>
          <t>Curriculum</t>
        </is>
      </c>
      <c r="E19" s="19" t="inlineStr">
        <is>
          <t>SOP Handbook</t>
        </is>
      </c>
      <c r="F19" s="19" t="inlineStr">
        <is>
          <t>L3-L5</t>
        </is>
      </c>
      <c r="G19" s="21" t="inlineStr">
        <is>
          <t>L3</t>
        </is>
      </c>
      <c r="H19" s="23" t="inlineStr">
        <is>
          <t>-</t>
        </is>
      </c>
      <c r="I19" s="23" t="inlineStr">
        <is>
          <t>-</t>
        </is>
      </c>
      <c r="J19" s="22" t="inlineStr">
        <is>
          <t>Yes</t>
        </is>
      </c>
      <c r="K19" s="22" t="inlineStr">
        <is>
          <t>Yes</t>
        </is>
      </c>
      <c r="L19" s="22" t="inlineStr">
        <is>
          <t>Yes</t>
        </is>
      </c>
    </row>
    <row r="20">
      <c r="A20" s="19" t="inlineStr">
        <is>
          <t>SDA-CMP-03</t>
        </is>
      </c>
      <c r="B20" s="20" t="inlineStr">
        <is>
          <t>SD Academy Portal Administration &amp; Content Governance Handbook</t>
        </is>
      </c>
      <c r="C20" s="19" t="inlineStr">
        <is>
          <t>SD Academy</t>
        </is>
      </c>
      <c r="D20" s="19" t="inlineStr">
        <is>
          <t>Portal Governance</t>
        </is>
      </c>
      <c r="E20" s="19" t="inlineStr">
        <is>
          <t>Compliance Handbook</t>
        </is>
      </c>
      <c r="F20" s="19" t="inlineStr">
        <is>
          <t>L4-L5</t>
        </is>
      </c>
      <c r="G20" s="21" t="inlineStr">
        <is>
          <t>L4</t>
        </is>
      </c>
      <c r="H20" s="23" t="inlineStr">
        <is>
          <t>-</t>
        </is>
      </c>
      <c r="I20" s="23" t="inlineStr">
        <is>
          <t>-</t>
        </is>
      </c>
      <c r="J20" s="23" t="inlineStr">
        <is>
          <t>-</t>
        </is>
      </c>
      <c r="K20" s="22" t="inlineStr">
        <is>
          <t>Yes</t>
        </is>
      </c>
      <c r="L20" s="22" t="inlineStr">
        <is>
          <t>Yes</t>
        </is>
      </c>
    </row>
    <row r="21">
      <c r="A21" s="19" t="inlineStr">
        <is>
          <t>SDA-MGT-01</t>
        </is>
      </c>
      <c r="B21" s="20" t="inlineStr">
        <is>
          <t>SD Academy Management Handbook</t>
        </is>
      </c>
      <c r="C21" s="19" t="inlineStr">
        <is>
          <t>SD Academy</t>
        </is>
      </c>
      <c r="D21" s="19" t="inlineStr">
        <is>
          <t>Management</t>
        </is>
      </c>
      <c r="E21" s="19" t="inlineStr">
        <is>
          <t>Management Handbook</t>
        </is>
      </c>
      <c r="F21" s="19" t="inlineStr">
        <is>
          <t>L4-L5</t>
        </is>
      </c>
      <c r="G21" s="21" t="inlineStr">
        <is>
          <t>L4</t>
        </is>
      </c>
      <c r="H21" s="23" t="inlineStr">
        <is>
          <t>-</t>
        </is>
      </c>
      <c r="I21" s="23" t="inlineStr">
        <is>
          <t>-</t>
        </is>
      </c>
      <c r="J21" s="23" t="inlineStr">
        <is>
          <t>-</t>
        </is>
      </c>
      <c r="K21" s="22" t="inlineStr">
        <is>
          <t>Yes</t>
        </is>
      </c>
      <c r="L21" s="22" t="inlineStr">
        <is>
          <t>Yes</t>
        </is>
      </c>
    </row>
    <row r="22">
      <c r="A22" s="19" t="inlineStr">
        <is>
          <t>SDA-SOP-02</t>
        </is>
      </c>
      <c r="B22" s="20" t="inlineStr">
        <is>
          <t>Trainer Evaluation &amp; Quality Audit Handbook</t>
        </is>
      </c>
      <c r="C22" s="19" t="inlineStr">
        <is>
          <t>SD Academy</t>
        </is>
      </c>
      <c r="D22" s="19" t="inlineStr">
        <is>
          <t>Faculty</t>
        </is>
      </c>
      <c r="E22" s="19" t="inlineStr">
        <is>
          <t>SOP Handbook</t>
        </is>
      </c>
      <c r="F22" s="19" t="inlineStr">
        <is>
          <t>L4-L5</t>
        </is>
      </c>
      <c r="G22" s="21" t="inlineStr">
        <is>
          <t>L4</t>
        </is>
      </c>
      <c r="H22" s="23" t="inlineStr">
        <is>
          <t>-</t>
        </is>
      </c>
      <c r="I22" s="23" t="inlineStr">
        <is>
          <t>-</t>
        </is>
      </c>
      <c r="J22" s="23" t="inlineStr">
        <is>
          <t>-</t>
        </is>
      </c>
      <c r="K22" s="22" t="inlineStr">
        <is>
          <t>Yes</t>
        </is>
      </c>
      <c r="L22" s="22" t="inlineStr">
        <is>
          <t>Yes</t>
        </is>
      </c>
    </row>
  </sheetData>
  <autoFilter ref="A5:L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50" customWidth="1" min="4" max="4"/>
    <col width="44" customWidth="1" min="5" max="5"/>
    <col width="22" customWidth="1" min="6" max="6"/>
  </cols>
  <sheetData>
    <row r="1">
      <c r="A1" s="1" t="inlineStr">
        <is>
          <t>SD GROUP - EMPLOYEE HANDBOOK REGISTER</t>
        </is>
      </c>
    </row>
    <row r="2">
      <c r="A2" s="2" t="inlineStr">
        <is>
          <t>5-LEVEL LEARNING STRUCTURE</t>
        </is>
      </c>
    </row>
    <row r="3">
      <c r="A3" s="3" t="inlineStr">
        <is>
          <t>Levels define who reads what. Paths are cumulative.</t>
        </is>
      </c>
    </row>
    <row r="5">
      <c r="A5" s="5" t="inlineStr">
        <is>
          <t>Level</t>
        </is>
      </c>
      <c r="B5" s="5" t="inlineStr">
        <is>
          <t>Level Name</t>
        </is>
      </c>
      <c r="C5" s="5" t="inlineStr">
        <is>
          <t>Typical Roles</t>
        </is>
      </c>
      <c r="D5" s="5" t="inlineStr">
        <is>
          <t>What This Level Adds</t>
        </is>
      </c>
      <c r="E5" s="5" t="inlineStr">
        <is>
          <t>Completion Gate</t>
        </is>
      </c>
      <c r="F5" s="5" t="inlineStr">
        <is>
          <t>SD Academy books at this level</t>
        </is>
      </c>
    </row>
    <row r="6">
      <c r="A6" s="24" t="inlineStr">
        <is>
          <t>L1</t>
        </is>
      </c>
      <c r="B6" s="25" t="inlineStr">
        <is>
          <t>L1 - Foundation</t>
        </is>
      </c>
      <c r="C6" s="25" t="inlineStr">
        <is>
          <t>Trainee / Executive / Operator</t>
        </is>
      </c>
      <c r="D6" s="25" t="inlineStr">
        <is>
          <t>Group core conduct &amp; safety, own company handbook, own department basics</t>
        </is>
      </c>
      <c r="E6" s="25" t="inlineStr">
        <is>
          <t>Induction: complete within 30 days of joining</t>
        </is>
      </c>
      <c r="F6" s="24" t="n">
        <v>7</v>
      </c>
    </row>
    <row r="7">
      <c r="A7" s="26" t="inlineStr">
        <is>
          <t>L2</t>
        </is>
      </c>
      <c r="B7" s="27" t="inlineStr">
        <is>
          <t>L2 - Practitioner</t>
        </is>
      </c>
      <c r="C7" s="27" t="inlineStr">
        <is>
          <t>Senior Executive / Technician / Specialist</t>
        </is>
      </c>
      <c r="D7" s="27" t="inlineStr">
        <is>
          <t>Adds own-function SOPs: how the job is done to standard</t>
        </is>
      </c>
      <c r="E7" s="27" t="inlineStr">
        <is>
          <t>Complete before independent working / unsupervised sign-off</t>
        </is>
      </c>
      <c r="F7" s="26" t="n">
        <v>10</v>
      </c>
    </row>
    <row r="8">
      <c r="A8" s="24" t="inlineStr">
        <is>
          <t>L3</t>
        </is>
      </c>
      <c r="B8" s="25" t="inlineStr">
        <is>
          <t>L3 - Senior / Coordinator</t>
        </is>
      </c>
      <c r="C8" s="25" t="inlineStr">
        <is>
          <t>Senior Specialist / Team Coordinator / Lead</t>
        </is>
      </c>
      <c r="D8" s="25" t="inlineStr">
        <is>
          <t>Adds compliance books, escalation ownership, audit-facing material</t>
        </is>
      </c>
      <c r="E8" s="25" t="inlineStr">
        <is>
          <t>Complete before holding escalation or client-facing authority</t>
        </is>
      </c>
      <c r="F8" s="24" t="n">
        <v>14</v>
      </c>
    </row>
    <row r="9">
      <c r="A9" s="26" t="inlineStr">
        <is>
          <t>L4</t>
        </is>
      </c>
      <c r="B9" s="27" t="inlineStr">
        <is>
          <t>L4 - Manager / HOD</t>
        </is>
      </c>
      <c r="C9" s="27" t="inlineStr">
        <is>
          <t>Manager / Head of Department</t>
        </is>
      </c>
      <c r="D9" s="27" t="inlineStr">
        <is>
          <t>Adds the management set: DoA, MIS review, appraisal, risk, targets, HOD role</t>
        </is>
      </c>
      <c r="E9" s="27" t="inlineStr">
        <is>
          <t>Complete before confirmation in a people-management role</t>
        </is>
      </c>
      <c r="F9" s="26" t="n">
        <v>17</v>
      </c>
    </row>
    <row r="10">
      <c r="A10" s="24" t="inlineStr">
        <is>
          <t>L5</t>
        </is>
      </c>
      <c r="B10" s="25" t="inlineStr">
        <is>
          <t>L5 - Leadership</t>
        </is>
      </c>
      <c r="C10" s="25" t="inlineStr">
        <is>
          <t>Company Head / Function Head / Management</t>
        </is>
      </c>
      <c r="D10" s="25" t="inlineStr">
        <is>
          <t>Adds leadership set: Leadership Operating and Strategic Planning &amp; Review</t>
        </is>
      </c>
      <c r="E10" s="25" t="inlineStr">
        <is>
          <t>Complete within 90 days of appointment to leadership</t>
        </is>
      </c>
      <c r="F10" s="24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xSplit="2" ySplit="18" topLeftCell="C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52" customWidth="1" min="3" max="3"/>
    <col width="38" customWidth="1" min="4" max="4"/>
    <col width="22" customWidth="1" min="5" max="5"/>
    <col width="40" customWidth="1" min="6" max="6"/>
    <col width="8" customWidth="1" min="7" max="7"/>
    <col width="7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6" customWidth="1" min="17" max="17"/>
    <col width="13" customWidth="1" min="18" max="18"/>
    <col width="34" customWidth="1" min="19" max="19"/>
  </cols>
  <sheetData>
    <row r="1">
      <c r="A1" s="1" t="inlineStr">
        <is>
          <t>SD GROUP - EMPLOYEE HANDBOOK REGISTER</t>
        </is>
      </c>
    </row>
    <row r="2">
      <c r="A2" s="2" t="inlineStr">
        <is>
          <t>SD ACADEMY - SD ACADEMY WEBSITE UPLOAD CHECKLIST (17 books)</t>
        </is>
      </c>
    </row>
    <row r="3">
      <c r="A3" s="3" t="inlineStr">
        <is>
          <t>Portal admin working sheet. Complete every tick column per book, then set Current Status in the Register to 'Uploaded to SD Academy' / 'Access Tagged'.</t>
        </is>
      </c>
    </row>
    <row r="5">
      <c r="A5" s="4" t="inlineStr">
        <is>
          <t>A. PRE-UPLOAD STANDARDS - verify these before uploading any file</t>
        </is>
      </c>
    </row>
    <row r="6">
      <c r="A6" s="28" t="inlineStr">
        <is>
          <t>1. File is the FINAL branded PDF - entity logo on cover, corner logo and watermark on every interior page.</t>
        </is>
      </c>
    </row>
    <row r="7">
      <c r="A7" s="28" t="inlineStr">
        <is>
          <t>2. File name matches the 'PDF File Name' column EXACTLY (case, underscores and _V1.0.pdf suffix included).</t>
        </is>
      </c>
    </row>
    <row r="8">
      <c r="A8" s="28" t="inlineStr">
        <is>
          <t>3. Version block reads V1.0 | Effective 03-Jul-2026 | Next Review 01-Jul-2027 on the document control page.</t>
        </is>
      </c>
    </row>
    <row r="9">
      <c r="A9" s="28" t="inlineStr">
        <is>
          <t>4. Upload to the exact 'SD Academy Folder Path' shown - do not create new folders or rename existing ones.</t>
        </is>
      </c>
    </row>
    <row r="10">
      <c r="A10" s="28" t="inlineStr">
        <is>
          <t>5. Link the file to its 'Related SD Academy Course ID' before publishing.</t>
        </is>
      </c>
    </row>
    <row r="11">
      <c r="A11" s="28" t="inlineStr">
        <is>
          <t>6. Apply access tags exactly as the 'Access Tag' column states (company / division / level).</t>
        </is>
      </c>
    </row>
    <row r="12">
      <c r="A12" s="28" t="inlineStr">
        <is>
          <t>7. Where Quiz = Yes, attach the mapped quiz and set the pass mark to 80% before the book goes live.</t>
        </is>
      </c>
    </row>
    <row r="13">
      <c r="A13" s="28" t="inlineStr">
        <is>
          <t>8. Where Legal Review = Yes, confirm legal sign-off is recorded in the Register BEFORE upload.</t>
        </is>
      </c>
    </row>
    <row r="14">
      <c r="A14" s="28" t="inlineStr">
        <is>
          <t>9. After publishing, open the live link as a test user at the lowest permitted level and confirm it renders.</t>
        </is>
      </c>
    </row>
    <row r="15">
      <c r="A15" s="28" t="inlineStr">
        <is>
          <t>10. Only then push the acknowledgement campaign (7-day completion window).</t>
        </is>
      </c>
    </row>
    <row r="17">
      <c r="A17" s="4" t="inlineStr">
        <is>
          <t>B. PER-BOOK UPLOAD CHECKLIST</t>
        </is>
      </c>
    </row>
    <row r="18">
      <c r="A18" s="5" t="inlineStr">
        <is>
          <t>#</t>
        </is>
      </c>
      <c r="B18" s="5" t="inlineStr">
        <is>
          <t>Book ID</t>
        </is>
      </c>
      <c r="C18" s="5" t="inlineStr">
        <is>
          <t>PDF File Name (exact)</t>
        </is>
      </c>
      <c r="D18" s="5" t="inlineStr">
        <is>
          <t>SD Academy Folder Path</t>
        </is>
      </c>
      <c r="E18" s="5" t="inlineStr">
        <is>
          <t>Course ID</t>
        </is>
      </c>
      <c r="F18" s="5" t="inlineStr">
        <is>
          <t>Access Tag (company | division | level)</t>
        </is>
      </c>
      <c r="G18" s="5" t="inlineStr">
        <is>
          <t>Quiz</t>
        </is>
      </c>
      <c r="H18" s="5" t="inlineStr">
        <is>
          <t>Ack</t>
        </is>
      </c>
      <c r="I18" s="5" t="inlineStr">
        <is>
          <t>Legal Sign-off Confirmed</t>
        </is>
      </c>
      <c r="J18" s="29" t="inlineStr">
        <is>
          <t>1. File Uploaded</t>
        </is>
      </c>
      <c r="K18" s="29" t="inlineStr">
        <is>
          <t>2. Folder Path Verified</t>
        </is>
      </c>
      <c r="L18" s="29" t="inlineStr">
        <is>
          <t>3. Access Tags Applied</t>
        </is>
      </c>
      <c r="M18" s="29" t="inlineStr">
        <is>
          <t>4. Course Linked</t>
        </is>
      </c>
      <c r="N18" s="29" t="inlineStr">
        <is>
          <t>5. Quiz Attached</t>
        </is>
      </c>
      <c r="O18" s="29" t="inlineStr">
        <is>
          <t>6. Live Link Tested</t>
        </is>
      </c>
      <c r="P18" s="29" t="inlineStr">
        <is>
          <t>7. Ack Campaign Pushed</t>
        </is>
      </c>
      <c r="Q18" s="5" t="inlineStr">
        <is>
          <t>Uploaded By</t>
        </is>
      </c>
      <c r="R18" s="5" t="inlineStr">
        <is>
          <t>Upload Date</t>
        </is>
      </c>
      <c r="S18" s="5" t="inlineStr">
        <is>
          <t>Notes / Issues</t>
        </is>
      </c>
    </row>
    <row r="19">
      <c r="A19" s="11" t="n">
        <v>1</v>
      </c>
      <c r="B19" s="9" t="inlineStr">
        <is>
          <t>SDA-CMP-03</t>
        </is>
      </c>
      <c r="C19" s="10" t="inlineStr">
        <is>
          <t>SDG_SDAcademy_Portal_Administration_Content_Governance_Handbook_L4-L5_V1.0.pdf</t>
        </is>
      </c>
      <c r="D19" s="10" t="inlineStr">
        <is>
          <t>SD Academy/08_SD_Academy/05_Compliance_Handbooks</t>
        </is>
      </c>
      <c r="E19" s="9" t="inlineStr">
        <is>
          <t>SDA-CRS-SDA-CMP-03</t>
        </is>
      </c>
      <c r="F19" s="10" t="inlineStr">
        <is>
          <t>SD Academy | SD Academy | L4-L5</t>
        </is>
      </c>
      <c r="G19" s="11" t="inlineStr">
        <is>
          <t>No</t>
        </is>
      </c>
      <c r="H19" s="11" t="inlineStr">
        <is>
          <t>Yes</t>
        </is>
      </c>
      <c r="I19" s="12" t="inlineStr">
        <is>
          <t>REQUIRED</t>
        </is>
      </c>
      <c r="J19" s="30" t="inlineStr"/>
      <c r="K19" s="30" t="inlineStr"/>
      <c r="L19" s="30" t="inlineStr"/>
      <c r="M19" s="30" t="inlineStr"/>
      <c r="N19" s="30" t="inlineStr">
        <is>
          <t>n/a</t>
        </is>
      </c>
      <c r="O19" s="30" t="inlineStr"/>
      <c r="P19" s="30" t="inlineStr"/>
      <c r="Q19" s="9" t="inlineStr"/>
      <c r="R19" s="9" t="inlineStr"/>
      <c r="S19" s="10" t="inlineStr"/>
    </row>
    <row r="20">
      <c r="A20" s="16" t="n">
        <v>2</v>
      </c>
      <c r="B20" s="14" t="inlineStr">
        <is>
          <t>SDA-BRD-01</t>
        </is>
      </c>
      <c r="C20" s="15" t="inlineStr">
        <is>
          <t>SDG_SDAcademy_Company_Handbook_L1-L5_V1.0.pdf</t>
        </is>
      </c>
      <c r="D20" s="15" t="inlineStr">
        <is>
          <t>SD Academy/08_SD_Academy/01_Company_Handbooks</t>
        </is>
      </c>
      <c r="E20" s="14" t="inlineStr">
        <is>
          <t>SDA-CRS-SDA-BRD-01</t>
        </is>
      </c>
      <c r="F20" s="15" t="inlineStr">
        <is>
          <t>SD Academy | SD Academy | L1-L5</t>
        </is>
      </c>
      <c r="G20" s="11" t="inlineStr">
        <is>
          <t>No</t>
        </is>
      </c>
      <c r="H20" s="11" t="inlineStr">
        <is>
          <t>Yes</t>
        </is>
      </c>
      <c r="I20" s="12" t="inlineStr">
        <is>
          <t>REQUIRED</t>
        </is>
      </c>
      <c r="J20" s="30" t="inlineStr"/>
      <c r="K20" s="30" t="inlineStr"/>
      <c r="L20" s="30" t="inlineStr"/>
      <c r="M20" s="30" t="inlineStr"/>
      <c r="N20" s="30" t="inlineStr">
        <is>
          <t>n/a</t>
        </is>
      </c>
      <c r="O20" s="30" t="inlineStr"/>
      <c r="P20" s="30" t="inlineStr"/>
      <c r="Q20" s="9" t="inlineStr"/>
      <c r="R20" s="9" t="inlineStr"/>
      <c r="S20" s="10" t="inlineStr"/>
    </row>
    <row r="21">
      <c r="A21" s="11" t="n">
        <v>3</v>
      </c>
      <c r="B21" s="9" t="inlineStr">
        <is>
          <t>SDA-DPT-01</t>
        </is>
      </c>
      <c r="C21" s="10" t="inlineStr">
        <is>
          <t>SDG_SDAcademy_Learning_Development_Handbook_L1-L5_V1.0.pdf</t>
        </is>
      </c>
      <c r="D21" s="10" t="inlineStr">
        <is>
          <t>SD Academy/08_SD_Academy/03_Department_Handbooks</t>
        </is>
      </c>
      <c r="E21" s="9" t="inlineStr">
        <is>
          <t>SDA-CRS-SDA-DPT-01</t>
        </is>
      </c>
      <c r="F21" s="10" t="inlineStr">
        <is>
          <t>SD Academy | SD Academy | L1-L5</t>
        </is>
      </c>
      <c r="G21" s="11" t="inlineStr">
        <is>
          <t>No</t>
        </is>
      </c>
      <c r="H21" s="11" t="inlineStr">
        <is>
          <t>Yes</t>
        </is>
      </c>
      <c r="I21" s="11" t="inlineStr">
        <is>
          <t>n/a</t>
        </is>
      </c>
      <c r="J21" s="30" t="inlineStr"/>
      <c r="K21" s="30" t="inlineStr"/>
      <c r="L21" s="30" t="inlineStr"/>
      <c r="M21" s="30" t="inlineStr"/>
      <c r="N21" s="30" t="inlineStr">
        <is>
          <t>n/a</t>
        </is>
      </c>
      <c r="O21" s="30" t="inlineStr"/>
      <c r="P21" s="30" t="inlineStr"/>
      <c r="Q21" s="9" t="inlineStr"/>
      <c r="R21" s="9" t="inlineStr"/>
      <c r="S21" s="10" t="inlineStr"/>
    </row>
    <row r="22">
      <c r="A22" s="16" t="n">
        <v>4</v>
      </c>
      <c r="B22" s="14" t="inlineStr">
        <is>
          <t>SDA-DPT-02</t>
        </is>
      </c>
      <c r="C22" s="15" t="inlineStr">
        <is>
          <t>SDG_SDAcademy_Curriculum_Development_Handbook_L1-L5_V1.0.pdf</t>
        </is>
      </c>
      <c r="D22" s="15" t="inlineStr">
        <is>
          <t>SD Academy/08_SD_Academy/03_Department_Handbooks</t>
        </is>
      </c>
      <c r="E22" s="14" t="inlineStr">
        <is>
          <t>SDA-CRS-SDA-DPT-02</t>
        </is>
      </c>
      <c r="F22" s="15" t="inlineStr">
        <is>
          <t>SD Academy | SD Academy | L1-L5</t>
        </is>
      </c>
      <c r="G22" s="11" t="inlineStr">
        <is>
          <t>No</t>
        </is>
      </c>
      <c r="H22" s="11" t="inlineStr">
        <is>
          <t>Yes</t>
        </is>
      </c>
      <c r="I22" s="11" t="inlineStr">
        <is>
          <t>n/a</t>
        </is>
      </c>
      <c r="J22" s="30" t="inlineStr"/>
      <c r="K22" s="30" t="inlineStr"/>
      <c r="L22" s="30" t="inlineStr"/>
      <c r="M22" s="30" t="inlineStr"/>
      <c r="N22" s="30" t="inlineStr">
        <is>
          <t>n/a</t>
        </is>
      </c>
      <c r="O22" s="30" t="inlineStr"/>
      <c r="P22" s="30" t="inlineStr"/>
      <c r="Q22" s="9" t="inlineStr"/>
      <c r="R22" s="9" t="inlineStr"/>
      <c r="S22" s="10" t="inlineStr"/>
    </row>
    <row r="23">
      <c r="A23" s="11" t="n">
        <v>5</v>
      </c>
      <c r="B23" s="9" t="inlineStr">
        <is>
          <t>SDA-DPT-03</t>
        </is>
      </c>
      <c r="C23" s="10" t="inlineStr">
        <is>
          <t>SDG_SDAcademy_Faculty_Handbook_L1-L5_V1.0.pdf</t>
        </is>
      </c>
      <c r="D23" s="10" t="inlineStr">
        <is>
          <t>SD Academy/08_SD_Academy/03_Department_Handbooks</t>
        </is>
      </c>
      <c r="E23" s="9" t="inlineStr">
        <is>
          <t>SDA-CRS-SDA-DPT-03</t>
        </is>
      </c>
      <c r="F23" s="10" t="inlineStr">
        <is>
          <t>SD Academy | SD Academy | L1-L5</t>
        </is>
      </c>
      <c r="G23" s="11" t="inlineStr">
        <is>
          <t>No</t>
        </is>
      </c>
      <c r="H23" s="11" t="inlineStr">
        <is>
          <t>Yes</t>
        </is>
      </c>
      <c r="I23" s="11" t="inlineStr">
        <is>
          <t>n/a</t>
        </is>
      </c>
      <c r="J23" s="30" t="inlineStr"/>
      <c r="K23" s="30" t="inlineStr"/>
      <c r="L23" s="30" t="inlineStr"/>
      <c r="M23" s="30" t="inlineStr"/>
      <c r="N23" s="30" t="inlineStr">
        <is>
          <t>n/a</t>
        </is>
      </c>
      <c r="O23" s="30" t="inlineStr"/>
      <c r="P23" s="30" t="inlineStr"/>
      <c r="Q23" s="9" t="inlineStr"/>
      <c r="R23" s="9" t="inlineStr"/>
      <c r="S23" s="10" t="inlineStr"/>
    </row>
    <row r="24">
      <c r="A24" s="16" t="n">
        <v>6</v>
      </c>
      <c r="B24" s="14" t="inlineStr">
        <is>
          <t>SDA-DPT-05</t>
        </is>
      </c>
      <c r="C24" s="15" t="inlineStr">
        <is>
          <t>SDG_SDAcademy_Student_Relations_Handbook_L1-L5_V1.0.pdf</t>
        </is>
      </c>
      <c r="D24" s="15" t="inlineStr">
        <is>
          <t>SD Academy/08_SD_Academy/03_Department_Handbooks</t>
        </is>
      </c>
      <c r="E24" s="14" t="inlineStr">
        <is>
          <t>SDA-CRS-SDA-DPT-05</t>
        </is>
      </c>
      <c r="F24" s="15" t="inlineStr">
        <is>
          <t>SD Academy | SD Academy | L1-L5</t>
        </is>
      </c>
      <c r="G24" s="11" t="inlineStr">
        <is>
          <t>No</t>
        </is>
      </c>
      <c r="H24" s="11" t="inlineStr">
        <is>
          <t>Yes</t>
        </is>
      </c>
      <c r="I24" s="11" t="inlineStr">
        <is>
          <t>n/a</t>
        </is>
      </c>
      <c r="J24" s="30" t="inlineStr"/>
      <c r="K24" s="30" t="inlineStr"/>
      <c r="L24" s="30" t="inlineStr"/>
      <c r="M24" s="30" t="inlineStr"/>
      <c r="N24" s="30" t="inlineStr">
        <is>
          <t>n/a</t>
        </is>
      </c>
      <c r="O24" s="30" t="inlineStr"/>
      <c r="P24" s="30" t="inlineStr"/>
      <c r="Q24" s="9" t="inlineStr"/>
      <c r="R24" s="9" t="inlineStr"/>
      <c r="S24" s="10" t="inlineStr"/>
    </row>
    <row r="25">
      <c r="A25" s="11" t="n">
        <v>7</v>
      </c>
      <c r="B25" s="9" t="inlineStr">
        <is>
          <t>SDA-DPT-06</t>
        </is>
      </c>
      <c r="C25" s="10" t="inlineStr">
        <is>
          <t>SDG_SDAcademy_Placement_Cell_Handbook_L1-L5_V1.0.pdf</t>
        </is>
      </c>
      <c r="D25" s="10" t="inlineStr">
        <is>
          <t>SD Academy/08_SD_Academy/03_Department_Handbooks</t>
        </is>
      </c>
      <c r="E25" s="9" t="inlineStr">
        <is>
          <t>SDA-CRS-SDA-DPT-06</t>
        </is>
      </c>
      <c r="F25" s="10" t="inlineStr">
        <is>
          <t>SD Academy | SD Academy | L1-L5</t>
        </is>
      </c>
      <c r="G25" s="11" t="inlineStr">
        <is>
          <t>No</t>
        </is>
      </c>
      <c r="H25" s="11" t="inlineStr">
        <is>
          <t>Yes</t>
        </is>
      </c>
      <c r="I25" s="11" t="inlineStr">
        <is>
          <t>n/a</t>
        </is>
      </c>
      <c r="J25" s="30" t="inlineStr"/>
      <c r="K25" s="30" t="inlineStr"/>
      <c r="L25" s="30" t="inlineStr"/>
      <c r="M25" s="30" t="inlineStr"/>
      <c r="N25" s="30" t="inlineStr">
        <is>
          <t>n/a</t>
        </is>
      </c>
      <c r="O25" s="30" t="inlineStr"/>
      <c r="P25" s="30" t="inlineStr"/>
      <c r="Q25" s="9" t="inlineStr"/>
      <c r="R25" s="9" t="inlineStr"/>
      <c r="S25" s="10" t="inlineStr"/>
    </row>
    <row r="26">
      <c r="A26" s="16" t="n">
        <v>8</v>
      </c>
      <c r="B26" s="14" t="inlineStr">
        <is>
          <t>SDA-DPT-07</t>
        </is>
      </c>
      <c r="C26" s="15" t="inlineStr">
        <is>
          <t>SDG_SDAcademy_Operations_Handbook_L1-L5_V1.0.pdf</t>
        </is>
      </c>
      <c r="D26" s="15" t="inlineStr">
        <is>
          <t>SD Academy/08_SD_Academy/03_Department_Handbooks</t>
        </is>
      </c>
      <c r="E26" s="14" t="inlineStr">
        <is>
          <t>SDA-CRS-SDA-DPT-07</t>
        </is>
      </c>
      <c r="F26" s="15" t="inlineStr">
        <is>
          <t>SD Academy | SD Academy | L1-L5</t>
        </is>
      </c>
      <c r="G26" s="11" t="inlineStr">
        <is>
          <t>No</t>
        </is>
      </c>
      <c r="H26" s="11" t="inlineStr">
        <is>
          <t>Yes</t>
        </is>
      </c>
      <c r="I26" s="11" t="inlineStr">
        <is>
          <t>n/a</t>
        </is>
      </c>
      <c r="J26" s="30" t="inlineStr"/>
      <c r="K26" s="30" t="inlineStr"/>
      <c r="L26" s="30" t="inlineStr"/>
      <c r="M26" s="30" t="inlineStr"/>
      <c r="N26" s="30" t="inlineStr">
        <is>
          <t>n/a</t>
        </is>
      </c>
      <c r="O26" s="30" t="inlineStr"/>
      <c r="P26" s="30" t="inlineStr"/>
      <c r="Q26" s="9" t="inlineStr"/>
      <c r="R26" s="9" t="inlineStr"/>
      <c r="S26" s="10" t="inlineStr"/>
    </row>
    <row r="27">
      <c r="A27" s="11" t="n">
        <v>9</v>
      </c>
      <c r="B27" s="9" t="inlineStr">
        <is>
          <t>SDA-MGT-01</t>
        </is>
      </c>
      <c r="C27" s="10" t="inlineStr">
        <is>
          <t>SDG_SDAcademy_Management_Handbook_L4-L5_V1.0.pdf</t>
        </is>
      </c>
      <c r="D27" s="10" t="inlineStr">
        <is>
          <t>SD Academy/08_SD_Academy/06_Management_Handbooks</t>
        </is>
      </c>
      <c r="E27" s="9" t="inlineStr">
        <is>
          <t>SDA-CRS-SDA-MGT-01</t>
        </is>
      </c>
      <c r="F27" s="10" t="inlineStr">
        <is>
          <t>SD Academy | SD Academy | L4-L5</t>
        </is>
      </c>
      <c r="G27" s="11" t="inlineStr">
        <is>
          <t>No</t>
        </is>
      </c>
      <c r="H27" s="11" t="inlineStr">
        <is>
          <t>Yes</t>
        </is>
      </c>
      <c r="I27" s="11" t="inlineStr">
        <is>
          <t>n/a</t>
        </is>
      </c>
      <c r="J27" s="30" t="inlineStr"/>
      <c r="K27" s="30" t="inlineStr"/>
      <c r="L27" s="30" t="inlineStr"/>
      <c r="M27" s="30" t="inlineStr"/>
      <c r="N27" s="30" t="inlineStr">
        <is>
          <t>n/a</t>
        </is>
      </c>
      <c r="O27" s="30" t="inlineStr"/>
      <c r="P27" s="30" t="inlineStr"/>
      <c r="Q27" s="9" t="inlineStr"/>
      <c r="R27" s="9" t="inlineStr"/>
      <c r="S27" s="10" t="inlineStr"/>
    </row>
    <row r="28">
      <c r="A28" s="16" t="n">
        <v>10</v>
      </c>
      <c r="B28" s="14" t="inlineStr">
        <is>
          <t>SDA-CMP-01</t>
        </is>
      </c>
      <c r="C28" s="15" t="inlineStr">
        <is>
          <t>SDG_SDAcademy_Assessment_Quiz_Certification_Integrity_Handbook_L3-L5_V1.0.pdf</t>
        </is>
      </c>
      <c r="D28" s="15" t="inlineStr">
        <is>
          <t>SD Academy/08_SD_Academy/05_Compliance_Handbooks</t>
        </is>
      </c>
      <c r="E28" s="14" t="inlineStr">
        <is>
          <t>SDA-CRS-SDA-CMP-01</t>
        </is>
      </c>
      <c r="F28" s="15" t="inlineStr">
        <is>
          <t>SD Academy | SD Academy | L3-L5</t>
        </is>
      </c>
      <c r="G28" s="11" t="inlineStr">
        <is>
          <t>No</t>
        </is>
      </c>
      <c r="H28" s="11" t="inlineStr">
        <is>
          <t>Yes</t>
        </is>
      </c>
      <c r="I28" s="12" t="inlineStr">
        <is>
          <t>REQUIRED</t>
        </is>
      </c>
      <c r="J28" s="30" t="inlineStr"/>
      <c r="K28" s="30" t="inlineStr"/>
      <c r="L28" s="30" t="inlineStr"/>
      <c r="M28" s="30" t="inlineStr"/>
      <c r="N28" s="30" t="inlineStr">
        <is>
          <t>n/a</t>
        </is>
      </c>
      <c r="O28" s="30" t="inlineStr"/>
      <c r="P28" s="30" t="inlineStr"/>
      <c r="Q28" s="9" t="inlineStr"/>
      <c r="R28" s="9" t="inlineStr"/>
      <c r="S28" s="10" t="inlineStr"/>
    </row>
    <row r="29">
      <c r="A29" s="11" t="n">
        <v>11</v>
      </c>
      <c r="B29" s="9" t="inlineStr">
        <is>
          <t>SDA-CMP-02</t>
        </is>
      </c>
      <c r="C29" s="10" t="inlineStr">
        <is>
          <t>SDG_SDAcademy_Student_Data_Privacy_Records_Handbook_L2-L5_V1.0.pdf</t>
        </is>
      </c>
      <c r="D29" s="10" t="inlineStr">
        <is>
          <t>SD Academy/08_SD_Academy/05_Compliance_Handbooks</t>
        </is>
      </c>
      <c r="E29" s="9" t="inlineStr">
        <is>
          <t>SDA-CRS-SDA-CMP-02</t>
        </is>
      </c>
      <c r="F29" s="10" t="inlineStr">
        <is>
          <t>SD Academy | SD Academy | L2-L5</t>
        </is>
      </c>
      <c r="G29" s="31" t="inlineStr">
        <is>
          <t>Yes</t>
        </is>
      </c>
      <c r="H29" s="11" t="inlineStr">
        <is>
          <t>Yes</t>
        </is>
      </c>
      <c r="I29" s="12" t="inlineStr">
        <is>
          <t>REQUIRED</t>
        </is>
      </c>
      <c r="J29" s="30" t="inlineStr"/>
      <c r="K29" s="30" t="inlineStr"/>
      <c r="L29" s="30" t="inlineStr"/>
      <c r="M29" s="30" t="inlineStr"/>
      <c r="N29" s="30" t="inlineStr"/>
      <c r="O29" s="30" t="inlineStr"/>
      <c r="P29" s="30" t="inlineStr"/>
      <c r="Q29" s="9" t="inlineStr"/>
      <c r="R29" s="9" t="inlineStr"/>
      <c r="S29" s="10" t="inlineStr"/>
    </row>
    <row r="30">
      <c r="A30" s="16" t="n">
        <v>12</v>
      </c>
      <c r="B30" s="14" t="inlineStr">
        <is>
          <t>SDA-DPT-04</t>
        </is>
      </c>
      <c r="C30" s="15" t="inlineStr">
        <is>
          <t>SDG_SDAcademy_Certification_Management_Issuance_Verification_Handbook_L3-L5_V1.0.pdf</t>
        </is>
      </c>
      <c r="D30" s="15" t="inlineStr">
        <is>
          <t>SD Academy/08_SD_Academy/03_Department_Handbooks</t>
        </is>
      </c>
      <c r="E30" s="14" t="inlineStr">
        <is>
          <t>SDA-CRS-SDA-DPT-04</t>
        </is>
      </c>
      <c r="F30" s="15" t="inlineStr">
        <is>
          <t>SD Academy | SD Academy | L3-L5</t>
        </is>
      </c>
      <c r="G30" s="11" t="inlineStr">
        <is>
          <t>No</t>
        </is>
      </c>
      <c r="H30" s="11" t="inlineStr">
        <is>
          <t>Yes</t>
        </is>
      </c>
      <c r="I30" s="12" t="inlineStr">
        <is>
          <t>REQUIRED</t>
        </is>
      </c>
      <c r="J30" s="30" t="inlineStr"/>
      <c r="K30" s="30" t="inlineStr"/>
      <c r="L30" s="30" t="inlineStr"/>
      <c r="M30" s="30" t="inlineStr"/>
      <c r="N30" s="30" t="inlineStr">
        <is>
          <t>n/a</t>
        </is>
      </c>
      <c r="O30" s="30" t="inlineStr"/>
      <c r="P30" s="30" t="inlineStr"/>
      <c r="Q30" s="9" t="inlineStr"/>
      <c r="R30" s="9" t="inlineStr"/>
      <c r="S30" s="10" t="inlineStr"/>
    </row>
    <row r="31">
      <c r="A31" s="11" t="n">
        <v>13</v>
      </c>
      <c r="B31" s="9" t="inlineStr">
        <is>
          <t>SDA-SOP-01</t>
        </is>
      </c>
      <c r="C31" s="10" t="inlineStr">
        <is>
          <t>SDG_SDAcademy_LMS_Portal_Administration_Handbook_L3-L5_V1.0.pdf</t>
        </is>
      </c>
      <c r="D31" s="10" t="inlineStr">
        <is>
          <t>SD Academy/08_SD_Academy/04_SOP_Handbooks</t>
        </is>
      </c>
      <c r="E31" s="9" t="inlineStr">
        <is>
          <t>SDA-CRS-SDA-SOP-01</t>
        </is>
      </c>
      <c r="F31" s="10" t="inlineStr">
        <is>
          <t>SD Academy | SD Academy | L3-L5</t>
        </is>
      </c>
      <c r="G31" s="11" t="inlineStr">
        <is>
          <t>No</t>
        </is>
      </c>
      <c r="H31" s="11" t="inlineStr">
        <is>
          <t>No</t>
        </is>
      </c>
      <c r="I31" s="11" t="inlineStr">
        <is>
          <t>n/a</t>
        </is>
      </c>
      <c r="J31" s="30" t="inlineStr"/>
      <c r="K31" s="30" t="inlineStr"/>
      <c r="L31" s="30" t="inlineStr"/>
      <c r="M31" s="30" t="inlineStr"/>
      <c r="N31" s="30" t="inlineStr">
        <is>
          <t>n/a</t>
        </is>
      </c>
      <c r="O31" s="30" t="inlineStr"/>
      <c r="P31" s="30" t="inlineStr"/>
      <c r="Q31" s="9" t="inlineStr"/>
      <c r="R31" s="9" t="inlineStr"/>
      <c r="S31" s="10" t="inlineStr"/>
    </row>
    <row r="32">
      <c r="A32" s="16" t="n">
        <v>14</v>
      </c>
      <c r="B32" s="14" t="inlineStr">
        <is>
          <t>SDA-SOP-02</t>
        </is>
      </c>
      <c r="C32" s="15" t="inlineStr">
        <is>
          <t>SDG_SDAcademy_Trainer_Evaluation_Quality_Audit_Handbook_L4-L5_V1.0.pdf</t>
        </is>
      </c>
      <c r="D32" s="15" t="inlineStr">
        <is>
          <t>SD Academy/08_SD_Academy/04_SOP_Handbooks</t>
        </is>
      </c>
      <c r="E32" s="14" t="inlineStr">
        <is>
          <t>SDA-CRS-SDA-SOP-02</t>
        </is>
      </c>
      <c r="F32" s="15" t="inlineStr">
        <is>
          <t>SD Academy | SD Academy | L4-L5</t>
        </is>
      </c>
      <c r="G32" s="11" t="inlineStr">
        <is>
          <t>No</t>
        </is>
      </c>
      <c r="H32" s="11" t="inlineStr">
        <is>
          <t>No</t>
        </is>
      </c>
      <c r="I32" s="11" t="inlineStr">
        <is>
          <t>n/a</t>
        </is>
      </c>
      <c r="J32" s="30" t="inlineStr"/>
      <c r="K32" s="30" t="inlineStr"/>
      <c r="L32" s="30" t="inlineStr"/>
      <c r="M32" s="30" t="inlineStr"/>
      <c r="N32" s="30" t="inlineStr">
        <is>
          <t>n/a</t>
        </is>
      </c>
      <c r="O32" s="30" t="inlineStr"/>
      <c r="P32" s="30" t="inlineStr"/>
      <c r="Q32" s="9" t="inlineStr"/>
      <c r="R32" s="9" t="inlineStr"/>
      <c r="S32" s="10" t="inlineStr"/>
    </row>
    <row r="33">
      <c r="A33" s="11" t="n">
        <v>15</v>
      </c>
      <c r="B33" s="9" t="inlineStr">
        <is>
          <t>SDA-SOP-03</t>
        </is>
      </c>
      <c r="C33" s="10" t="inlineStr">
        <is>
          <t>SDG_SDAcademy_Course_Creation_Content_Approval_Handbook_L3-L5_V1.0.pdf</t>
        </is>
      </c>
      <c r="D33" s="10" t="inlineStr">
        <is>
          <t>SD Academy/08_SD_Academy/04_SOP_Handbooks</t>
        </is>
      </c>
      <c r="E33" s="9" t="inlineStr">
        <is>
          <t>SDA-CRS-SDA-SOP-03</t>
        </is>
      </c>
      <c r="F33" s="10" t="inlineStr">
        <is>
          <t>SD Academy | SD Academy | L3-L5</t>
        </is>
      </c>
      <c r="G33" s="11" t="inlineStr">
        <is>
          <t>No</t>
        </is>
      </c>
      <c r="H33" s="11" t="inlineStr">
        <is>
          <t>No</t>
        </is>
      </c>
      <c r="I33" s="11" t="inlineStr">
        <is>
          <t>n/a</t>
        </is>
      </c>
      <c r="J33" s="30" t="inlineStr"/>
      <c r="K33" s="30" t="inlineStr"/>
      <c r="L33" s="30" t="inlineStr"/>
      <c r="M33" s="30" t="inlineStr"/>
      <c r="N33" s="30" t="inlineStr">
        <is>
          <t>n/a</t>
        </is>
      </c>
      <c r="O33" s="30" t="inlineStr"/>
      <c r="P33" s="30" t="inlineStr"/>
      <c r="Q33" s="9" t="inlineStr"/>
      <c r="R33" s="9" t="inlineStr"/>
      <c r="S33" s="10" t="inlineStr"/>
    </row>
    <row r="34">
      <c r="A34" s="16" t="n">
        <v>16</v>
      </c>
      <c r="B34" s="14" t="inlineStr">
        <is>
          <t>SDA-SOP-04</t>
        </is>
      </c>
      <c r="C34" s="15" t="inlineStr">
        <is>
          <t>SDG_SDAcademy_Internal_Training_Attendance_Completion_Handbook_L2-L5_V1.0.pdf</t>
        </is>
      </c>
      <c r="D34" s="15" t="inlineStr">
        <is>
          <t>SD Academy/08_SD_Academy/04_SOP_Handbooks</t>
        </is>
      </c>
      <c r="E34" s="14" t="inlineStr">
        <is>
          <t>SDA-CRS-SDA-SOP-04</t>
        </is>
      </c>
      <c r="F34" s="15" t="inlineStr">
        <is>
          <t>SD Academy | SD Academy | L2-L5</t>
        </is>
      </c>
      <c r="G34" s="11" t="inlineStr">
        <is>
          <t>No</t>
        </is>
      </c>
      <c r="H34" s="11" t="inlineStr">
        <is>
          <t>No</t>
        </is>
      </c>
      <c r="I34" s="11" t="inlineStr">
        <is>
          <t>n/a</t>
        </is>
      </c>
      <c r="J34" s="30" t="inlineStr"/>
      <c r="K34" s="30" t="inlineStr"/>
      <c r="L34" s="30" t="inlineStr"/>
      <c r="M34" s="30" t="inlineStr"/>
      <c r="N34" s="30" t="inlineStr">
        <is>
          <t>n/a</t>
        </is>
      </c>
      <c r="O34" s="30" t="inlineStr"/>
      <c r="P34" s="30" t="inlineStr"/>
      <c r="Q34" s="9" t="inlineStr"/>
      <c r="R34" s="9" t="inlineStr"/>
      <c r="S34" s="10" t="inlineStr"/>
    </row>
    <row r="35">
      <c r="A35" s="11" t="n">
        <v>17</v>
      </c>
      <c r="B35" s="9" t="inlineStr">
        <is>
          <t>SDA-SOP-05</t>
        </is>
      </c>
      <c r="C35" s="10" t="inlineStr">
        <is>
          <t>SDG_SDAcademy_Academy_Feedback_Improvement_Handbook_L2-L5_V1.0.pdf</t>
        </is>
      </c>
      <c r="D35" s="10" t="inlineStr">
        <is>
          <t>SD Academy/08_SD_Academy/04_SOP_Handbooks</t>
        </is>
      </c>
      <c r="E35" s="9" t="inlineStr">
        <is>
          <t>SDA-CRS-SDA-SOP-05</t>
        </is>
      </c>
      <c r="F35" s="10" t="inlineStr">
        <is>
          <t>SD Academy | SD Academy | L2-L5</t>
        </is>
      </c>
      <c r="G35" s="11" t="inlineStr">
        <is>
          <t>No</t>
        </is>
      </c>
      <c r="H35" s="11" t="inlineStr">
        <is>
          <t>No</t>
        </is>
      </c>
      <c r="I35" s="11" t="inlineStr">
        <is>
          <t>n/a</t>
        </is>
      </c>
      <c r="J35" s="30" t="inlineStr"/>
      <c r="K35" s="30" t="inlineStr"/>
      <c r="L35" s="30" t="inlineStr"/>
      <c r="M35" s="30" t="inlineStr"/>
      <c r="N35" s="30" t="inlineStr">
        <is>
          <t>n/a</t>
        </is>
      </c>
      <c r="O35" s="30" t="inlineStr"/>
      <c r="P35" s="30" t="inlineStr"/>
      <c r="Q35" s="9" t="inlineStr"/>
      <c r="R35" s="9" t="inlineStr"/>
      <c r="S35" s="10" t="inlineStr"/>
    </row>
    <row r="37">
      <c r="A37" s="4" t="inlineStr">
        <is>
          <t>C. SIGN-OFF</t>
        </is>
      </c>
    </row>
    <row r="38">
      <c r="A38" s="5" t="inlineStr">
        <is>
          <t>Role</t>
        </is>
      </c>
      <c r="B38" s="5" t="inlineStr">
        <is>
          <t>Name</t>
        </is>
      </c>
      <c r="C38" s="5" t="inlineStr">
        <is>
          <t>Signature / Digital Confirmation</t>
        </is>
      </c>
      <c r="D38" s="5" t="inlineStr">
        <is>
          <t>Date</t>
        </is>
      </c>
    </row>
    <row r="39">
      <c r="A39" s="32" t="inlineStr">
        <is>
          <t>Portal Admin (upload complete)</t>
        </is>
      </c>
      <c r="B39" s="33" t="n"/>
      <c r="C39" s="33" t="n"/>
      <c r="D39" s="33" t="n"/>
    </row>
    <row r="40">
      <c r="A40" s="32" t="inlineStr">
        <is>
          <t>Group HR (access tags verified)</t>
        </is>
      </c>
      <c r="B40" s="33" t="n"/>
      <c r="C40" s="33" t="n"/>
      <c r="D40" s="33" t="n"/>
    </row>
    <row r="41">
      <c r="A41" s="32" t="inlineStr">
        <is>
          <t>Company Head (release approved)</t>
        </is>
      </c>
      <c r="B41" s="33" t="n"/>
      <c r="C41" s="33" t="n"/>
      <c r="D41" s="33" t="n"/>
    </row>
  </sheetData>
  <autoFilter ref="A18:S35"/>
  <dataValidations count="2">
    <dataValidation sqref="J19:P35" showDropDown="0" showInputMessage="0" showErrorMessage="0" allowBlank="1" type="list">
      <formula1>"Done,Pending,N/A"</formula1>
    </dataValidation>
    <dataValidation sqref="I19:I35" showDropDown="0" showInputMessage="0" showErrorMessage="0" allowBlank="1" type="list">
      <formula1>"Confirmed,Pending,n/a"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ACCESS BAND REFERENCE</t>
        </is>
      </c>
    </row>
    <row r="3">
      <c r="A3" s="3" t="inlineStr">
        <is>
          <t>What each access band is used for across SD Group.</t>
        </is>
      </c>
    </row>
    <row r="5">
      <c r="A5" s="5" t="inlineStr">
        <is>
          <t>Access band</t>
        </is>
      </c>
      <c r="B5" s="5" t="inlineStr">
        <is>
          <t>Used for</t>
        </is>
      </c>
    </row>
    <row r="6">
      <c r="A6" s="34" t="inlineStr">
        <is>
          <t>L1-L5</t>
        </is>
      </c>
      <c r="B6" s="25" t="inlineStr">
        <is>
          <t>Common employee, code of conduct, attendance &amp; leave, HR basics, company/division handbook, department execution, basic safety, basic training, acknowledgement books</t>
        </is>
      </c>
    </row>
    <row r="7">
      <c r="A7" s="34" t="inlineStr">
        <is>
          <t>L2-L5</t>
        </is>
      </c>
      <c r="B7" s="25" t="inlineStr">
        <is>
          <t>SOP-heavy, tool usage, department workflow, execution process, software books</t>
        </is>
      </c>
    </row>
    <row r="8">
      <c r="A8" s="34" t="inlineStr">
        <is>
          <t>L3-L5</t>
        </is>
      </c>
      <c r="B8" s="25" t="inlineStr">
        <is>
          <t>Senior coordination, client escalation, advanced reporting, commercial process, data quality, compliance process</t>
        </is>
      </c>
    </row>
    <row r="9">
      <c r="A9" s="34" t="inlineStr">
        <is>
          <t>L4-L5</t>
        </is>
      </c>
      <c r="B9" s="25" t="inlineStr">
        <is>
          <t>Management review, approval matrix, team monitoring, internal audit, escalation control, corrective action</t>
        </is>
      </c>
    </row>
    <row r="10">
      <c r="A10" s="34" t="inlineStr">
        <is>
          <t>L5</t>
        </is>
      </c>
      <c r="B10" s="25" t="inlineStr">
        <is>
          <t>Founder/director strategy, confidential strategy, restructuring, sensitive legal strategy, high-level governance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50" customWidth="1" min="4" max="4"/>
  </cols>
  <sheetData>
    <row r="1">
      <c r="A1" s="1" t="inlineStr">
        <is>
          <t>SD GROUP - EMPLOYEE HANDBOOK REGISTER</t>
        </is>
      </c>
    </row>
    <row r="2">
      <c r="A2" s="2" t="inlineStr">
        <is>
          <t>STATUS FLOW - 15 STAGES</t>
        </is>
      </c>
    </row>
    <row r="3">
      <c r="A3" s="3" t="inlineStr">
        <is>
          <t>Each book moves through these stages. Use the dropdown in Register.</t>
        </is>
      </c>
    </row>
    <row r="5">
      <c r="A5" s="5" t="inlineStr">
        <is>
          <t>#</t>
        </is>
      </c>
      <c r="B5" s="5" t="inlineStr">
        <is>
          <t>Stage</t>
        </is>
      </c>
      <c r="C5" s="5" t="inlineStr">
        <is>
          <t>Gate owner</t>
        </is>
      </c>
      <c r="D5" s="5" t="inlineStr">
        <is>
          <t>Exit criteria</t>
        </is>
      </c>
    </row>
    <row r="6">
      <c r="A6" s="35" t="n">
        <v>1</v>
      </c>
      <c r="B6" s="36" t="inlineStr">
        <is>
          <t>Not Started</t>
        </is>
      </c>
      <c r="C6" s="36" t="inlineStr">
        <is>
          <t>Register owner</t>
        </is>
      </c>
      <c r="D6" s="36" t="inlineStr">
        <is>
          <t>Data sheet received</t>
        </is>
      </c>
    </row>
    <row r="7">
      <c r="A7" s="35" t="n">
        <v>2</v>
      </c>
      <c r="B7" s="36" t="inlineStr">
        <is>
          <t>Draft Content Created</t>
        </is>
      </c>
      <c r="C7" s="36" t="inlineStr">
        <is>
          <t>Book Owner</t>
        </is>
      </c>
      <c r="D7" s="36" t="inlineStr">
        <is>
          <t>Full draft on approved template</t>
        </is>
      </c>
    </row>
    <row r="8">
      <c r="A8" s="35" t="n">
        <v>3</v>
      </c>
      <c r="B8" s="36" t="inlineStr">
        <is>
          <t>HR Review Pending</t>
        </is>
      </c>
      <c r="C8" s="36" t="inlineStr">
        <is>
          <t>Group HR</t>
        </is>
      </c>
      <c r="D8" s="36" t="inlineStr">
        <is>
          <t>Queued for HR check</t>
        </is>
      </c>
    </row>
    <row r="9">
      <c r="A9" s="35" t="n">
        <v>4</v>
      </c>
      <c r="B9" s="36" t="inlineStr">
        <is>
          <t>HR Approved</t>
        </is>
      </c>
      <c r="C9" s="36" t="inlineStr">
        <is>
          <t>Group HR</t>
        </is>
      </c>
      <c r="D9" s="36" t="inlineStr">
        <is>
          <t>Policy consistency verified</t>
        </is>
      </c>
    </row>
    <row r="10">
      <c r="A10" s="35" t="n">
        <v>5</v>
      </c>
      <c r="B10" s="36" t="inlineStr">
        <is>
          <t>Legal Review Pending</t>
        </is>
      </c>
      <c r="C10" s="36" t="inlineStr">
        <is>
          <t>Legal &amp; Compliance</t>
        </is>
      </c>
      <c r="D10" s="36" t="inlineStr">
        <is>
          <t>Queued where Legal = Yes</t>
        </is>
      </c>
    </row>
    <row r="11">
      <c r="A11" s="35" t="n">
        <v>6</v>
      </c>
      <c r="B11" s="36" t="inlineStr">
        <is>
          <t>Legal Approved</t>
        </is>
      </c>
      <c r="C11" s="36" t="inlineStr">
        <is>
          <t>Legal &amp; Compliance</t>
        </is>
      </c>
      <c r="D11" s="36" t="inlineStr">
        <is>
          <t>Statutory sign-off recorded</t>
        </is>
      </c>
    </row>
    <row r="12">
      <c r="A12" s="35" t="n">
        <v>7</v>
      </c>
      <c r="B12" s="36" t="inlineStr">
        <is>
          <t>Management Review Pending</t>
        </is>
      </c>
      <c r="C12" s="36" t="inlineStr">
        <is>
          <t>Brand Head / CHRO</t>
        </is>
      </c>
      <c r="D12" s="36" t="inlineStr">
        <is>
          <t>Queued for approval</t>
        </is>
      </c>
    </row>
    <row r="13">
      <c r="A13" s="35" t="n">
        <v>8</v>
      </c>
      <c r="B13" s="36" t="inlineStr">
        <is>
          <t>Management Approved</t>
        </is>
      </c>
      <c r="C13" s="36" t="inlineStr">
        <is>
          <t>Brand Head / CHRO</t>
        </is>
      </c>
      <c r="D13" s="36" t="inlineStr">
        <is>
          <t>Signed approval in register</t>
        </is>
      </c>
    </row>
    <row r="14">
      <c r="A14" s="35" t="n">
        <v>9</v>
      </c>
      <c r="B14" s="36" t="inlineStr">
        <is>
          <t>PDF Designed</t>
        </is>
      </c>
      <c r="C14" s="36" t="inlineStr">
        <is>
          <t>Design cell</t>
        </is>
      </c>
      <c r="D14" s="36" t="inlineStr">
        <is>
          <t>Branded PDF with footer + metadata</t>
        </is>
      </c>
    </row>
    <row r="15">
      <c r="A15" s="37" t="n">
        <v>10</v>
      </c>
      <c r="B15" s="38" t="inlineStr">
        <is>
          <t>PDF Final Checked</t>
        </is>
      </c>
      <c r="C15" s="38" t="inlineStr">
        <is>
          <t>QC reviewer</t>
        </is>
      </c>
      <c r="D15" s="38" t="inlineStr">
        <is>
          <t>Proof-read; version block verified</t>
        </is>
      </c>
    </row>
    <row r="16">
      <c r="A16" s="35" t="n">
        <v>11</v>
      </c>
      <c r="B16" s="36" t="inlineStr">
        <is>
          <t>Uploaded to SD Academy</t>
        </is>
      </c>
      <c r="C16" s="36" t="inlineStr">
        <is>
          <t>Portal admin</t>
        </is>
      </c>
      <c r="D16" s="36" t="inlineStr">
        <is>
          <t>Live in correct folder path</t>
        </is>
      </c>
    </row>
    <row r="17">
      <c r="A17" s="35" t="n">
        <v>12</v>
      </c>
      <c r="B17" s="36" t="inlineStr">
        <is>
          <t>Access Tagged</t>
        </is>
      </c>
      <c r="C17" s="36" t="inlineStr">
        <is>
          <t>Portal admin</t>
        </is>
      </c>
      <c r="D17" s="36" t="inlineStr">
        <is>
          <t>Company/division/level/role tags applied</t>
        </is>
      </c>
    </row>
    <row r="18">
      <c r="A18" s="35" t="n">
        <v>13</v>
      </c>
      <c r="B18" s="36" t="inlineStr">
        <is>
          <t>Acknowledgement Campaign Live</t>
        </is>
      </c>
      <c r="C18" s="36" t="inlineStr">
        <is>
          <t>Portal admin</t>
        </is>
      </c>
      <c r="D18" s="36" t="inlineStr">
        <is>
          <t>Ack task pushed to target employees</t>
        </is>
      </c>
    </row>
    <row r="19">
      <c r="A19" s="35" t="n">
        <v>14</v>
      </c>
      <c r="B19" s="36" t="inlineStr">
        <is>
          <t>Employee Acknowledgement Completed</t>
        </is>
      </c>
      <c r="C19" s="36" t="inlineStr">
        <is>
          <t>Group HR</t>
        </is>
      </c>
      <c r="D19" s="36" t="inlineStr">
        <is>
          <t>&gt;= 95% acknowledged; laggards escalated</t>
        </is>
      </c>
    </row>
    <row r="20">
      <c r="A20" s="35" t="n">
        <v>15</v>
      </c>
      <c r="B20" s="36" t="inlineStr">
        <is>
          <t>Archived / Superseded</t>
        </is>
      </c>
      <c r="C20" s="36" t="inlineStr">
        <is>
          <t>Portal admin</t>
        </is>
      </c>
      <c r="D20" s="36" t="inlineStr">
        <is>
          <t>Old version moved to 12_Archived_Versions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0" customWidth="1" min="4" max="4"/>
    <col width="14" customWidth="1" min="5" max="5"/>
  </cols>
  <sheetData>
    <row r="1">
      <c r="A1" s="1" t="inlineStr">
        <is>
          <t>SD GROUP - EMPLOYEE HANDBOOK REGISTER</t>
        </is>
      </c>
    </row>
    <row r="2">
      <c r="A2" s="2" t="inlineStr">
        <is>
          <t>CHANGE LOG</t>
        </is>
      </c>
    </row>
    <row r="3">
      <c r="A3" s="3" t="inlineStr">
        <is>
          <t>Record every structural or status change to this register.</t>
        </is>
      </c>
    </row>
    <row r="5">
      <c r="A5" s="5" t="inlineStr">
        <is>
          <t>Date</t>
        </is>
      </c>
      <c r="B5" s="5" t="inlineStr">
        <is>
          <t>Version</t>
        </is>
      </c>
      <c r="C5" s="5" t="inlineStr">
        <is>
          <t>Change Type</t>
        </is>
      </c>
      <c r="D5" s="5" t="inlineStr">
        <is>
          <t>Description</t>
        </is>
      </c>
      <c r="E5" s="5" t="inlineStr">
        <is>
          <t>By</t>
        </is>
      </c>
    </row>
    <row r="6">
      <c r="A6" s="39" t="inlineStr">
        <is>
          <t>23-Jul-2026</t>
        </is>
      </c>
      <c r="B6" s="39" t="inlineStr">
        <is>
          <t>v1.0</t>
        </is>
      </c>
      <c r="C6" s="39" t="inlineStr">
        <is>
          <t>Register split from group master - SD Academy</t>
        </is>
      </c>
      <c r="D6" s="25" t="inlineStr">
        <is>
          <t>SD Academy register separated from SDG_Handbook_Master_Register_v3.1 into a standalone workbook covering 17 books. All 17 handbooks produced as entity-branded, QC-audited PDFs; status 'PDF Final Checked'. Next stages: HR/Legal/Management sign-off, SD Academy upload, access tagging, acknowledgement campaign.</t>
        </is>
      </c>
      <c r="E6" s="39" t="inlineStr">
        <is>
          <t>Group HR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</cols>
  <sheetData>
    <row r="1">
      <c r="A1" s="40" t="inlineStr">
        <is>
          <t>Validation lists (do not delete)</t>
        </is>
      </c>
    </row>
    <row r="3">
      <c r="A3" s="41" t="inlineStr">
        <is>
          <t>Status</t>
        </is>
      </c>
      <c r="B3" s="41" t="inlineStr">
        <is>
          <t>Access</t>
        </is>
      </c>
      <c r="C3" s="41" t="inlineStr">
        <is>
          <t>Yes/No</t>
        </is>
      </c>
    </row>
    <row r="4">
      <c r="A4" t="inlineStr">
        <is>
          <t>Not Started</t>
        </is>
      </c>
      <c r="B4" t="inlineStr">
        <is>
          <t>L1-L5</t>
        </is>
      </c>
      <c r="C4" t="inlineStr">
        <is>
          <t>Yes</t>
        </is>
      </c>
    </row>
    <row r="5">
      <c r="A5" t="inlineStr">
        <is>
          <t>Draft Content Created</t>
        </is>
      </c>
      <c r="B5" t="inlineStr">
        <is>
          <t>L2-L5</t>
        </is>
      </c>
      <c r="C5" t="inlineStr">
        <is>
          <t>No</t>
        </is>
      </c>
    </row>
    <row r="6">
      <c r="A6" t="inlineStr">
        <is>
          <t>HR Review Pending</t>
        </is>
      </c>
      <c r="B6" t="inlineStr">
        <is>
          <t>L3-L5</t>
        </is>
      </c>
    </row>
    <row r="7">
      <c r="A7" t="inlineStr">
        <is>
          <t>HR Approved</t>
        </is>
      </c>
      <c r="B7" t="inlineStr">
        <is>
          <t>L4-L5</t>
        </is>
      </c>
    </row>
    <row r="8">
      <c r="A8" t="inlineStr">
        <is>
          <t>Legal Review Pending</t>
        </is>
      </c>
      <c r="B8" t="inlineStr">
        <is>
          <t>L5</t>
        </is>
      </c>
    </row>
    <row r="9">
      <c r="A9" t="inlineStr">
        <is>
          <t>Legal Approved</t>
        </is>
      </c>
    </row>
    <row r="10">
      <c r="A10" t="inlineStr">
        <is>
          <t>Management Review Pending</t>
        </is>
      </c>
    </row>
    <row r="11">
      <c r="A11" t="inlineStr">
        <is>
          <t>Management Approved</t>
        </is>
      </c>
    </row>
    <row r="12">
      <c r="A12" t="inlineStr">
        <is>
          <t>PDF Designed</t>
        </is>
      </c>
    </row>
    <row r="13">
      <c r="A13" t="inlineStr">
        <is>
          <t>PDF Final Checked</t>
        </is>
      </c>
    </row>
    <row r="14">
      <c r="A14" t="inlineStr">
        <is>
          <t>Uploaded to SD Academy</t>
        </is>
      </c>
    </row>
    <row r="15">
      <c r="A15" t="inlineStr">
        <is>
          <t>Access Tagged</t>
        </is>
      </c>
    </row>
    <row r="16">
      <c r="A16" t="inlineStr">
        <is>
          <t>Acknowledgement Campaign Live</t>
        </is>
      </c>
    </row>
    <row r="17">
      <c r="A17" t="inlineStr">
        <is>
          <t>Employee Acknowledgement Completed</t>
        </is>
      </c>
    </row>
    <row r="18">
      <c r="A18" t="inlineStr">
        <is>
          <t>Archived / Superseded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2026-08-05T17:02:21Z</dcterms:created>
  <dcterms:modified xmlns:dcterms="http://purl.org/dc/terms/" xmlns:xsi="http://www.w3.org/2001/XMLSchema-instance" xsi:type="dcterms:W3CDTF">2026-08-05T17:02:21Z</dcterms:modified>
</cp:coreProperties>
</file>