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'Register'!$A$5:$X$35</definedName>
    <definedName name="_xlnm._FilterDatabase" localSheetId="2" hidden="1">'Level_Matrix'!$A$5:$L$35</definedName>
    <definedName name="_xlnm._FilterDatabase" localSheetId="4" hidden="1">'Upload_Checklist'!$A$18:$S$48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COMMON SD GROUP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COUNTA(Register!$A$6:$A$35)</f>
        <v/>
      </c>
    </row>
    <row r="8">
      <c r="A8" s="6" t="inlineStr">
        <is>
          <t>Books requiring HR review</t>
        </is>
      </c>
      <c r="B8" s="7">
        <f>COUNTIF(Register!$I$6:$I$35,"Yes")</f>
        <v/>
      </c>
    </row>
    <row r="9">
      <c r="A9" s="6" t="inlineStr">
        <is>
          <t>Books requiring legal review (legal-sensitive)</t>
        </is>
      </c>
      <c r="B9" s="7">
        <f>COUNTIF(Register!$J$6:$J$35,"Yes")</f>
        <v/>
      </c>
    </row>
    <row r="10">
      <c r="A10" s="6" t="inlineStr">
        <is>
          <t>Books requiring management approval</t>
        </is>
      </c>
      <c r="B10" s="7">
        <f>COUNTIF(Register!$K$6:$K$35,"Yes")</f>
        <v/>
      </c>
    </row>
    <row r="11">
      <c r="A11" s="6" t="inlineStr">
        <is>
          <t>Books requiring employee acknowledgement</t>
        </is>
      </c>
      <c r="B11" s="7">
        <f>COUNTIF(Register!$L$6:$L$35,"Yes")</f>
        <v/>
      </c>
    </row>
    <row r="12">
      <c r="A12" s="6" t="inlineStr">
        <is>
          <t>Books requiring quiz / assessment</t>
        </is>
      </c>
      <c r="B12" s="7">
        <f>COUNTIF(Register!$M$6:$M$35,"Yes")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COUNTIF(Register!$S$6:$S$35,"Not Started")</f>
        <v/>
      </c>
    </row>
    <row r="17">
      <c r="A17" s="6" t="inlineStr">
        <is>
          <t>Draft Content Created</t>
        </is>
      </c>
      <c r="B17" s="8">
        <f>COUNTIF(Register!$S$6:$S$35,"Draft Content Created")</f>
        <v/>
      </c>
    </row>
    <row r="18">
      <c r="A18" s="6" t="inlineStr">
        <is>
          <t>HR Review Pending</t>
        </is>
      </c>
      <c r="B18" s="8">
        <f>COUNTIF(Register!$S$6:$S$35,"HR Review Pending")</f>
        <v/>
      </c>
    </row>
    <row r="19">
      <c r="A19" s="6" t="inlineStr">
        <is>
          <t>HR Approved</t>
        </is>
      </c>
      <c r="B19" s="8">
        <f>COUNTIF(Register!$S$6:$S$35,"HR Approved")</f>
        <v/>
      </c>
    </row>
    <row r="20">
      <c r="A20" s="6" t="inlineStr">
        <is>
          <t>Legal Review Pending</t>
        </is>
      </c>
      <c r="B20" s="8">
        <f>COUNTIF(Register!$S$6:$S$35,"Legal Review Pending")</f>
        <v/>
      </c>
    </row>
    <row r="21">
      <c r="A21" s="6" t="inlineStr">
        <is>
          <t>Legal Approved</t>
        </is>
      </c>
      <c r="B21" s="8">
        <f>COUNTIF(Register!$S$6:$S$35,"Legal Approved")</f>
        <v/>
      </c>
    </row>
    <row r="22">
      <c r="A22" s="6" t="inlineStr">
        <is>
          <t>Management Review Pending</t>
        </is>
      </c>
      <c r="B22" s="8">
        <f>COUNTIF(Register!$S$6:$S$35,"Management Review Pending")</f>
        <v/>
      </c>
    </row>
    <row r="23">
      <c r="A23" s="6" t="inlineStr">
        <is>
          <t>Management Approved</t>
        </is>
      </c>
      <c r="B23" s="8">
        <f>COUNTIF(Register!$S$6:$S$35,"Management Approved")</f>
        <v/>
      </c>
    </row>
    <row r="24">
      <c r="A24" s="6" t="inlineStr">
        <is>
          <t>PDF Designed</t>
        </is>
      </c>
      <c r="B24" s="8">
        <f>COUNTIF(Register!$S$6:$S$35,"PDF Designed")</f>
        <v/>
      </c>
    </row>
    <row r="25">
      <c r="A25" s="6" t="inlineStr">
        <is>
          <t>PDF Final Checked</t>
        </is>
      </c>
      <c r="B25" s="8">
        <f>COUNTIF(Register!$S$6:$S$35,"PDF Final Checked")</f>
        <v/>
      </c>
    </row>
    <row r="26">
      <c r="A26" s="6" t="inlineStr">
        <is>
          <t>Uploaded to SD Academy</t>
        </is>
      </c>
      <c r="B26" s="8">
        <f>COUNTIF(Register!$S$6:$S$35,"Uploaded to SD Academy")</f>
        <v/>
      </c>
    </row>
    <row r="27">
      <c r="A27" s="6" t="inlineStr">
        <is>
          <t>Access Tagged</t>
        </is>
      </c>
      <c r="B27" s="8">
        <f>COUNTIF(Register!$S$6:$S$35,"Access Tagged")</f>
        <v/>
      </c>
    </row>
    <row r="28">
      <c r="A28" s="6" t="inlineStr">
        <is>
          <t>Acknowledgement Campaign Live</t>
        </is>
      </c>
      <c r="B28" s="8">
        <f>COUNTIF(Register!$S$6:$S$35,"Acknowledgement Campaign Live")</f>
        <v/>
      </c>
    </row>
    <row r="29">
      <c r="A29" s="6" t="inlineStr">
        <is>
          <t>Employee Acknowledgement Completed</t>
        </is>
      </c>
      <c r="B29" s="8">
        <f>COUNTIF(Register!$S$6:$S$35,"Employee Acknowledgement Completed")</f>
        <v/>
      </c>
    </row>
    <row r="30">
      <c r="A30" s="6" t="inlineStr">
        <is>
          <t>Archived / Superseded</t>
        </is>
      </c>
      <c r="B30" s="8">
        <f>COUNTIF(Register!$S$6:$S$35,"Archived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COUNTIF(Register!$F$6:$F$35,"L1-L5")</f>
        <v/>
      </c>
    </row>
    <row r="35">
      <c r="A35" s="6" t="inlineStr">
        <is>
          <t>L2-L5</t>
        </is>
      </c>
      <c r="B35" s="8">
        <f>COUNTIF(Register!$F$6:$F$35,"L2-L5")</f>
        <v/>
      </c>
    </row>
    <row r="36">
      <c r="A36" s="6" t="inlineStr">
        <is>
          <t>L3-L5</t>
        </is>
      </c>
      <c r="B36" s="8">
        <f>COUNTIF(Register!$F$6:$F$35,"L3-L5")</f>
        <v/>
      </c>
    </row>
    <row r="37">
      <c r="A37" s="6" t="inlineStr">
        <is>
          <t>L4-L5</t>
        </is>
      </c>
      <c r="B37" s="8">
        <f>COUNTIF(Register!$F$6:$F$35,"L4-L5")</f>
        <v/>
      </c>
    </row>
    <row r="38">
      <c r="A38" s="6" t="inlineStr">
        <is>
          <t>L5</t>
        </is>
      </c>
      <c r="B38" s="8">
        <f>COUNTIF(Register!$F$6:$F$35,"L5")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COUNTIF(Upload_Checklist!$J$19:$J$48,"Done")&amp;" / 30"</f>
        <v/>
      </c>
    </row>
    <row r="43">
      <c r="A43" s="6" t="inlineStr">
        <is>
          <t>2. Folder Path Verified</t>
        </is>
      </c>
      <c r="B43" s="8">
        <f>COUNTIF(Upload_Checklist!$K$19:$K$48,"Done")&amp;" / 30"</f>
        <v/>
      </c>
    </row>
    <row r="44">
      <c r="A44" s="6" t="inlineStr">
        <is>
          <t>3. Access Tags Applied</t>
        </is>
      </c>
      <c r="B44" s="8">
        <f>COUNTIF(Upload_Checklist!$L$19:$L$48,"Done")&amp;" / 30"</f>
        <v/>
      </c>
    </row>
    <row r="45">
      <c r="A45" s="6" t="inlineStr">
        <is>
          <t>4. Course Linked</t>
        </is>
      </c>
      <c r="B45" s="8">
        <f>COUNTIF(Upload_Checklist!$M$19:$M$48,"Done")&amp;" / 30"</f>
        <v/>
      </c>
    </row>
    <row r="46">
      <c r="A46" s="6" t="inlineStr">
        <is>
          <t>5. Quiz Attached</t>
        </is>
      </c>
      <c r="B46" s="8">
        <f>COUNTIF(Upload_Checklist!$N$19:$N$48,"Done")&amp;" / 30"</f>
        <v/>
      </c>
    </row>
    <row r="47">
      <c r="A47" s="6" t="inlineStr">
        <is>
          <t>6. Live Link Tested</t>
        </is>
      </c>
      <c r="B47" s="8">
        <f>COUNTIF(Upload_Checklist!$O$19:$O$48,"Done")&amp;" / 30"</f>
        <v/>
      </c>
    </row>
    <row r="48">
      <c r="A48" s="6" t="inlineStr">
        <is>
          <t>7. Ack Campaign Pushed</t>
        </is>
      </c>
      <c r="B48" s="8">
        <f>COUNTIF(Upload_Checklist!$P$19:$P$48,"Done")&amp;" / 30"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Common Handbook</t>
        </is>
      </c>
      <c r="B52" s="8">
        <f>COUNTIF(Register!$E$6:$E$35,"Common Handbook")</f>
        <v/>
      </c>
    </row>
    <row r="53">
      <c r="A53" s="6" t="inlineStr">
        <is>
          <t>Compliance Handbook</t>
        </is>
      </c>
      <c r="B53" s="8">
        <f>COUNTIF(Register!$E$6:$E$35,"Compliance Handbook")</f>
        <v/>
      </c>
    </row>
    <row r="54">
      <c r="A54" s="6" t="inlineStr">
        <is>
          <t>Leadership Handbook</t>
        </is>
      </c>
      <c r="B54" s="8">
        <f>COUNTIF(Register!$E$6:$E$35,"Leadership Handbook")</f>
        <v/>
      </c>
    </row>
    <row r="55">
      <c r="A55" s="6" t="inlineStr">
        <is>
          <t>Management Handbook</t>
        </is>
      </c>
      <c r="B55" s="8">
        <f>COUNTIF(Register!$E$6:$E$35,"Management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COMMON SD GROUP - HANDBOOK REGISTER (30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CM-CMN-01</t>
        </is>
      </c>
      <c r="B6" s="10" t="inlineStr">
        <is>
          <t>SD Group Common Employee Handbook</t>
        </is>
      </c>
      <c r="C6" s="9" t="inlineStr">
        <is>
          <t>Group Common</t>
        </is>
      </c>
      <c r="D6" s="9" t="inlineStr">
        <is>
          <t>All Departments</t>
        </is>
      </c>
      <c r="E6" s="9" t="inlineStr">
        <is>
          <t>Common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Group HR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SDA-CRS-CM-CMN-01</t>
        </is>
      </c>
      <c r="P6" s="10" t="inlineStr">
        <is>
          <t>SD Academy/01_Common_SD_Group</t>
        </is>
      </c>
      <c r="Q6" s="10" t="inlineStr">
        <is>
          <t>SDG_Common_Employee_Handbook_L1-L5_V1.0.pdf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Critical</t>
        </is>
      </c>
      <c r="U6" s="11" t="inlineStr">
        <is>
          <t>Wave 1</t>
        </is>
      </c>
      <c r="V6" s="9" t="inlineStr">
        <is>
          <t>Annual + on law change</t>
        </is>
      </c>
      <c r="W6" s="13" t="n">
        <v>46478</v>
      </c>
      <c r="X6" s="10" t="inlineStr">
        <is>
          <t>Was Employee Handbook; base book for every employee</t>
        </is>
      </c>
    </row>
    <row r="7">
      <c r="A7" s="14" t="inlineStr">
        <is>
          <t>CM-CMN-02</t>
        </is>
      </c>
      <c r="B7" s="15" t="inlineStr">
        <is>
          <t>HR Policy Handbook</t>
        </is>
      </c>
      <c r="C7" s="14" t="inlineStr">
        <is>
          <t>Group Common</t>
        </is>
      </c>
      <c r="D7" s="14" t="inlineStr">
        <is>
          <t>HR</t>
        </is>
      </c>
      <c r="E7" s="14" t="inlineStr">
        <is>
          <t>Common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Group HR</t>
        </is>
      </c>
      <c r="I7" s="16" t="inlineStr">
        <is>
          <t>Yes</t>
        </is>
      </c>
      <c r="J7" s="12" t="inlineStr">
        <is>
          <t>Yes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SDA-CRS-CM-CMN-02</t>
        </is>
      </c>
      <c r="P7" s="15" t="inlineStr">
        <is>
          <t>SD Academy/01_Common_SD_Group</t>
        </is>
      </c>
      <c r="Q7" s="15" t="inlineStr">
        <is>
          <t>SDG_Common_HR_Policy_Handbook_L1-L5_V1.0.pdf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Critical</t>
        </is>
      </c>
      <c r="U7" s="16" t="inlineStr">
        <is>
          <t>Wave 1</t>
        </is>
      </c>
      <c r="V7" s="14" t="inlineStr">
        <is>
          <t>Annual + on law change</t>
        </is>
      </c>
      <c r="W7" s="17" t="n">
        <v>46478</v>
      </c>
      <c r="X7" s="15" t="inlineStr"/>
    </row>
    <row r="8">
      <c r="A8" s="9" t="inlineStr">
        <is>
          <t>CM-CMN-03</t>
        </is>
      </c>
      <c r="B8" s="10" t="inlineStr">
        <is>
          <t>Attendance, Leave, Permission &amp; Working Hours Handbook</t>
        </is>
      </c>
      <c r="C8" s="9" t="inlineStr">
        <is>
          <t>Group Common</t>
        </is>
      </c>
      <c r="D8" s="9" t="inlineStr">
        <is>
          <t>HR</t>
        </is>
      </c>
      <c r="E8" s="9" t="inlineStr">
        <is>
          <t>Common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Group HR</t>
        </is>
      </c>
      <c r="I8" s="11" t="inlineStr">
        <is>
          <t>Yes</t>
        </is>
      </c>
      <c r="J8" s="12" t="inlineStr">
        <is>
          <t>Yes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SDA-CRS-CM-CMN-03</t>
        </is>
      </c>
      <c r="P8" s="10" t="inlineStr">
        <is>
          <t>SD Academy/01_Common_SD_Group</t>
        </is>
      </c>
      <c r="Q8" s="10" t="inlineStr">
        <is>
          <t>SDG_Common_Attendance_Leave_Permission_Working_Hours_Handbook_L1-L5_V1.0.pdf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Critical</t>
        </is>
      </c>
      <c r="U8" s="11" t="inlineStr">
        <is>
          <t>Wave 1</t>
        </is>
      </c>
      <c r="V8" s="9" t="inlineStr">
        <is>
          <t>Annual + on law change</t>
        </is>
      </c>
      <c r="W8" s="13" t="n">
        <v>46478</v>
      </c>
      <c r="X8" s="10" t="inlineStr"/>
    </row>
    <row r="9">
      <c r="A9" s="14" t="inlineStr">
        <is>
          <t>CM-CMN-04</t>
        </is>
      </c>
      <c r="B9" s="15" t="inlineStr">
        <is>
          <t>EHS Basics Handbook</t>
        </is>
      </c>
      <c r="C9" s="14" t="inlineStr">
        <is>
          <t>Group Common</t>
        </is>
      </c>
      <c r="D9" s="14" t="inlineStr">
        <is>
          <t>EHS</t>
        </is>
      </c>
      <c r="E9" s="14" t="inlineStr">
        <is>
          <t>Common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Group HR</t>
        </is>
      </c>
      <c r="I9" s="16" t="inlineStr">
        <is>
          <t>Yes</t>
        </is>
      </c>
      <c r="J9" s="12" t="inlineStr">
        <is>
          <t>Yes</t>
        </is>
      </c>
      <c r="K9" s="16" t="inlineStr">
        <is>
          <t>Yes</t>
        </is>
      </c>
      <c r="L9" s="16" t="inlineStr">
        <is>
          <t>Yes</t>
        </is>
      </c>
      <c r="M9" s="18" t="inlineStr">
        <is>
          <t>Yes</t>
        </is>
      </c>
      <c r="N9" s="16" t="n">
        <v>80</v>
      </c>
      <c r="O9" s="14" t="inlineStr">
        <is>
          <t>SDA-CRS-CM-CMN-04</t>
        </is>
      </c>
      <c r="P9" s="15" t="inlineStr">
        <is>
          <t>SD Academy/01_Common_SD_Group</t>
        </is>
      </c>
      <c r="Q9" s="15" t="inlineStr">
        <is>
          <t>SDG_Common_EHS_Basics_Handbook_L1-L5_V1.0.pdf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Critical</t>
        </is>
      </c>
      <c r="U9" s="16" t="inlineStr">
        <is>
          <t>Wave 1</t>
        </is>
      </c>
      <c r="V9" s="14" t="inlineStr">
        <is>
          <t>Annual + on law change</t>
        </is>
      </c>
      <c r="W9" s="17" t="n">
        <v>46478</v>
      </c>
      <c r="X9" s="15" t="inlineStr">
        <is>
          <t>Safety basics for all; site/factory detail in company SOP books</t>
        </is>
      </c>
    </row>
    <row r="10">
      <c r="A10" s="9" t="inlineStr">
        <is>
          <t>CM-CMN-05</t>
        </is>
      </c>
      <c r="B10" s="10" t="inlineStr">
        <is>
          <t>Information Security Handbook</t>
        </is>
      </c>
      <c r="C10" s="9" t="inlineStr">
        <is>
          <t>Group Common</t>
        </is>
      </c>
      <c r="D10" s="9" t="inlineStr">
        <is>
          <t>IT</t>
        </is>
      </c>
      <c r="E10" s="9" t="inlineStr">
        <is>
          <t>Common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Group HR</t>
        </is>
      </c>
      <c r="I10" s="11" t="inlineStr">
        <is>
          <t>Yes</t>
        </is>
      </c>
      <c r="J10" s="12" t="inlineStr">
        <is>
          <t>Yes</t>
        </is>
      </c>
      <c r="K10" s="11" t="inlineStr">
        <is>
          <t>Yes</t>
        </is>
      </c>
      <c r="L10" s="11" t="inlineStr">
        <is>
          <t>Yes</t>
        </is>
      </c>
      <c r="M10" s="18" t="inlineStr">
        <is>
          <t>Yes</t>
        </is>
      </c>
      <c r="N10" s="11" t="n">
        <v>80</v>
      </c>
      <c r="O10" s="9" t="inlineStr">
        <is>
          <t>SDA-CRS-CM-CMN-05</t>
        </is>
      </c>
      <c r="P10" s="10" t="inlineStr">
        <is>
          <t>SD Academy/01_Common_SD_Group</t>
        </is>
      </c>
      <c r="Q10" s="10" t="inlineStr">
        <is>
          <t>SDG_Common_Information_Security_Handbook_L1-L5_V1.0.pdf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Critical</t>
        </is>
      </c>
      <c r="U10" s="11" t="inlineStr">
        <is>
          <t>Wave 1</t>
        </is>
      </c>
      <c r="V10" s="9" t="inlineStr">
        <is>
          <t>Annual + on law change</t>
        </is>
      </c>
      <c r="W10" s="13" t="n">
        <v>46478</v>
      </c>
      <c r="X10" s="10" t="inlineStr"/>
    </row>
    <row r="11">
      <c r="A11" s="14" t="inlineStr">
        <is>
          <t>CM-CMN-06</t>
        </is>
      </c>
      <c r="B11" s="15" t="inlineStr">
        <is>
          <t>IT Asset, Device, Email &amp; Software Usage Handbook</t>
        </is>
      </c>
      <c r="C11" s="14" t="inlineStr">
        <is>
          <t>Group Common</t>
        </is>
      </c>
      <c r="D11" s="14" t="inlineStr">
        <is>
          <t>IT</t>
        </is>
      </c>
      <c r="E11" s="14" t="inlineStr">
        <is>
          <t>Common Handbook</t>
        </is>
      </c>
      <c r="F11" s="16" t="inlineStr">
        <is>
          <t>L2-L5</t>
        </is>
      </c>
      <c r="G11" s="14" t="inlineStr">
        <is>
          <t>Internal</t>
        </is>
      </c>
      <c r="H11" s="14" t="inlineStr">
        <is>
          <t>Group HR</t>
        </is>
      </c>
      <c r="I11" s="16" t="inlineStr">
        <is>
          <t>Yes</t>
        </is>
      </c>
      <c r="J11" s="12" t="inlineStr">
        <is>
          <t>Yes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SDA-CRS-CM-CMN-06</t>
        </is>
      </c>
      <c r="P11" s="15" t="inlineStr">
        <is>
          <t>SD Academy/01_Common_SD_Group</t>
        </is>
      </c>
      <c r="Q11" s="15" t="inlineStr">
        <is>
          <t>SDG_Common_IT_Asset_Device_Email_Software_Usage_Handbook_L2-L5_V1.0.pdf</t>
        </is>
      </c>
      <c r="R11" s="16" t="n">
        <v>1</v>
      </c>
      <c r="S11" s="14" t="inlineStr">
        <is>
          <t>PDF Final Checked</t>
        </is>
      </c>
      <c r="T11" s="16" t="inlineStr">
        <is>
          <t>Critical</t>
        </is>
      </c>
      <c r="U11" s="16" t="inlineStr">
        <is>
          <t>Wave 1</t>
        </is>
      </c>
      <c r="V11" s="14" t="inlineStr">
        <is>
          <t>Annual + on law change</t>
        </is>
      </c>
      <c r="W11" s="17" t="n">
        <v>46478</v>
      </c>
      <c r="X11" s="15" t="inlineStr"/>
    </row>
    <row r="12">
      <c r="A12" s="9" t="inlineStr">
        <is>
          <t>CM-CMN-07</t>
        </is>
      </c>
      <c r="B12" s="10" t="inlineStr">
        <is>
          <t>Travel, Expense, Advance &amp; Reimbursement Handbook</t>
        </is>
      </c>
      <c r="C12" s="9" t="inlineStr">
        <is>
          <t>Group Common</t>
        </is>
      </c>
      <c r="D12" s="9" t="inlineStr">
        <is>
          <t>Finance</t>
        </is>
      </c>
      <c r="E12" s="9" t="inlineStr">
        <is>
          <t>Common Handbook</t>
        </is>
      </c>
      <c r="F12" s="11" t="inlineStr">
        <is>
          <t>L2-L5</t>
        </is>
      </c>
      <c r="G12" s="9" t="inlineStr">
        <is>
          <t>Internal</t>
        </is>
      </c>
      <c r="H12" s="9" t="inlineStr">
        <is>
          <t>Group HR</t>
        </is>
      </c>
      <c r="I12" s="11" t="inlineStr">
        <is>
          <t>Yes</t>
        </is>
      </c>
      <c r="J12" s="12" t="inlineStr">
        <is>
          <t>Yes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SDA-CRS-CM-CMN-07</t>
        </is>
      </c>
      <c r="P12" s="10" t="inlineStr">
        <is>
          <t>SD Academy/01_Common_SD_Group</t>
        </is>
      </c>
      <c r="Q12" s="10" t="inlineStr">
        <is>
          <t>SDG_Common_Travel_Expense_Advance_Reimbursement_Handbook_L2-L5_V1.0.pdf</t>
        </is>
      </c>
      <c r="R12" s="11" t="n">
        <v>1</v>
      </c>
      <c r="S12" s="9" t="inlineStr">
        <is>
          <t>PDF Final Checked</t>
        </is>
      </c>
      <c r="T12" s="11" t="inlineStr">
        <is>
          <t>Critical</t>
        </is>
      </c>
      <c r="U12" s="11" t="inlineStr">
        <is>
          <t>Wave 1</t>
        </is>
      </c>
      <c r="V12" s="9" t="inlineStr">
        <is>
          <t>Annual + on law change</t>
        </is>
      </c>
      <c r="W12" s="13" t="n">
        <v>46478</v>
      </c>
      <c r="X12" s="10" t="inlineStr"/>
    </row>
    <row r="13">
      <c r="A13" s="14" t="inlineStr">
        <is>
          <t>CM-CMN-08</t>
        </is>
      </c>
      <c r="B13" s="15" t="inlineStr">
        <is>
          <t>Disciplinary Action, Notice Period &amp; Exit Process Handbook</t>
        </is>
      </c>
      <c r="C13" s="14" t="inlineStr">
        <is>
          <t>Group Common</t>
        </is>
      </c>
      <c r="D13" s="14" t="inlineStr">
        <is>
          <t>HR</t>
        </is>
      </c>
      <c r="E13" s="14" t="inlineStr">
        <is>
          <t>Common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Group HR</t>
        </is>
      </c>
      <c r="I13" s="16" t="inlineStr">
        <is>
          <t>Yes</t>
        </is>
      </c>
      <c r="J13" s="12" t="inlineStr">
        <is>
          <t>Yes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SDA-CRS-CM-CMN-08</t>
        </is>
      </c>
      <c r="P13" s="15" t="inlineStr">
        <is>
          <t>SD Academy/01_Common_SD_Group</t>
        </is>
      </c>
      <c r="Q13" s="15" t="inlineStr">
        <is>
          <t>SDG_Common_Disciplinary_Action_Notice_Period_Exit_Process_Handbook_L1-L5_V1.0.pdf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Critical</t>
        </is>
      </c>
      <c r="U13" s="16" t="inlineStr">
        <is>
          <t>Wave 1</t>
        </is>
      </c>
      <c r="V13" s="14" t="inlineStr">
        <is>
          <t>Annual + on law change</t>
        </is>
      </c>
      <c r="W13" s="17" t="n">
        <v>46478</v>
      </c>
      <c r="X13" s="15" t="inlineStr"/>
    </row>
    <row r="14">
      <c r="A14" s="9" t="inlineStr">
        <is>
          <t>CM-CMN-09</t>
        </is>
      </c>
      <c r="B14" s="10" t="inlineStr">
        <is>
          <t>Internal Communication, Email, WhatsApp &amp; Meeting Discipline Handbook</t>
        </is>
      </c>
      <c r="C14" s="9" t="inlineStr">
        <is>
          <t>Group Common</t>
        </is>
      </c>
      <c r="D14" s="9" t="inlineStr">
        <is>
          <t>All Departments</t>
        </is>
      </c>
      <c r="E14" s="9" t="inlineStr">
        <is>
          <t>Common Handbook</t>
        </is>
      </c>
      <c r="F14" s="11" t="inlineStr">
        <is>
          <t>L1-L5</t>
        </is>
      </c>
      <c r="G14" s="9" t="inlineStr">
        <is>
          <t>Internal</t>
        </is>
      </c>
      <c r="H14" s="9" t="inlineStr">
        <is>
          <t>Group HR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SDA-CRS-CM-CMN-09</t>
        </is>
      </c>
      <c r="P14" s="10" t="inlineStr">
        <is>
          <t>SD Academy/01_Common_SD_Group</t>
        </is>
      </c>
      <c r="Q14" s="10" t="inlineStr">
        <is>
          <t>SDG_Common_Internal_Communication_Email_WhatsApp_Meeting_Discipline_Handbook_L1-L5_V1.0.pdf</t>
        </is>
      </c>
      <c r="R14" s="11" t="n">
        <v>1</v>
      </c>
      <c r="S14" s="9" t="inlineStr">
        <is>
          <t>PDF Final Checked</t>
        </is>
      </c>
      <c r="T14" s="11" t="inlineStr">
        <is>
          <t>Critical</t>
        </is>
      </c>
      <c r="U14" s="11" t="inlineStr">
        <is>
          <t>Wave 1</t>
        </is>
      </c>
      <c r="V14" s="9" t="inlineStr">
        <is>
          <t>Annual</t>
        </is>
      </c>
      <c r="W14" s="13" t="n">
        <v>46478</v>
      </c>
      <c r="X14" s="10" t="inlineStr">
        <is>
          <t>Mandated 5-13: channel discipline, escalation etiquette, meeting rules</t>
        </is>
      </c>
    </row>
    <row r="15">
      <c r="A15" s="14" t="inlineStr">
        <is>
          <t>CM-CMN-10</t>
        </is>
      </c>
      <c r="B15" s="15" t="inlineStr">
        <is>
          <t>Document Control, Records Management &amp; Version Governance Handbook</t>
        </is>
      </c>
      <c r="C15" s="14" t="inlineStr">
        <is>
          <t>Group Common</t>
        </is>
      </c>
      <c r="D15" s="14" t="inlineStr">
        <is>
          <t>Quality</t>
        </is>
      </c>
      <c r="E15" s="14" t="inlineStr">
        <is>
          <t>Common Handbook</t>
        </is>
      </c>
      <c r="F15" s="16" t="inlineStr">
        <is>
          <t>L2-L5</t>
        </is>
      </c>
      <c r="G15" s="14" t="inlineStr">
        <is>
          <t>Internal</t>
        </is>
      </c>
      <c r="H15" s="14" t="inlineStr">
        <is>
          <t>Group HR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No</t>
        </is>
      </c>
      <c r="N15" s="16" t="inlineStr">
        <is>
          <t>-</t>
        </is>
      </c>
      <c r="O15" s="14" t="inlineStr">
        <is>
          <t>SDA-CRS-CM-CMN-10</t>
        </is>
      </c>
      <c r="P15" s="15" t="inlineStr">
        <is>
          <t>SD Academy/01_Common_SD_Group</t>
        </is>
      </c>
      <c r="Q15" s="15" t="inlineStr">
        <is>
          <t>SDG_Common_Document_Control_Records_Management_Version_Governance_Handbook_L2-L5_V1.0.pdf</t>
        </is>
      </c>
      <c r="R15" s="16" t="n">
        <v>1</v>
      </c>
      <c r="S15" s="14" t="inlineStr">
        <is>
          <t>PDF Final Checked</t>
        </is>
      </c>
      <c r="T15" s="16" t="inlineStr">
        <is>
          <t>Critical</t>
        </is>
      </c>
      <c r="U15" s="16" t="inlineStr">
        <is>
          <t>Wave 1</t>
        </is>
      </c>
      <c r="V15" s="14" t="inlineStr">
        <is>
          <t>Annual</t>
        </is>
      </c>
      <c r="W15" s="17" t="n">
        <v>46478</v>
      </c>
      <c r="X15" s="15" t="inlineStr">
        <is>
          <t>Mandated 5-14: numbering, retention, version governance for all records</t>
        </is>
      </c>
    </row>
    <row r="16">
      <c r="A16" s="9" t="inlineStr">
        <is>
          <t>CM-CMN-11</t>
        </is>
      </c>
      <c r="B16" s="10" t="inlineStr">
        <is>
          <t>IMS Handbook (ISO 9001/14001/45001)</t>
        </is>
      </c>
      <c r="C16" s="9" t="inlineStr">
        <is>
          <t>Group Common</t>
        </is>
      </c>
      <c r="D16" s="9" t="inlineStr">
        <is>
          <t>Quality</t>
        </is>
      </c>
      <c r="E16" s="9" t="inlineStr">
        <is>
          <t>Common Handbook</t>
        </is>
      </c>
      <c r="F16" s="11" t="inlineStr">
        <is>
          <t>L2-L5</t>
        </is>
      </c>
      <c r="G16" s="9" t="inlineStr">
        <is>
          <t>Internal</t>
        </is>
      </c>
      <c r="H16" s="9" t="inlineStr">
        <is>
          <t>Group HR</t>
        </is>
      </c>
      <c r="I16" s="11" t="inlineStr">
        <is>
          <t>Yes</t>
        </is>
      </c>
      <c r="J16" s="11" t="inlineStr">
        <is>
          <t>No</t>
        </is>
      </c>
      <c r="K16" s="11" t="inlineStr">
        <is>
          <t>Yes</t>
        </is>
      </c>
      <c r="L16" s="11" t="inlineStr">
        <is>
          <t>Yes</t>
        </is>
      </c>
      <c r="M16" s="11" t="inlineStr">
        <is>
          <t>No</t>
        </is>
      </c>
      <c r="N16" s="11" t="inlineStr">
        <is>
          <t>-</t>
        </is>
      </c>
      <c r="O16" s="9" t="inlineStr">
        <is>
          <t>SDA-CRS-CM-CMN-11</t>
        </is>
      </c>
      <c r="P16" s="10" t="inlineStr">
        <is>
          <t>SD Academy/01_Common_SD_Group</t>
        </is>
      </c>
      <c r="Q16" s="10" t="inlineStr">
        <is>
          <t>SDG_Common_IMS_Handbook_ISO_9001_14001_45001_L2-L5_V1.0.pdf</t>
        </is>
      </c>
      <c r="R16" s="11" t="n">
        <v>1</v>
      </c>
      <c r="S16" s="9" t="inlineStr">
        <is>
          <t>PDF Final Checked</t>
        </is>
      </c>
      <c r="T16" s="11" t="inlineStr">
        <is>
          <t>Critical</t>
        </is>
      </c>
      <c r="U16" s="11" t="inlineStr">
        <is>
          <t>Wave 1</t>
        </is>
      </c>
      <c r="V16" s="9" t="inlineStr">
        <is>
          <t>Annual</t>
        </is>
      </c>
      <c r="W16" s="13" t="n">
        <v>46478</v>
      </c>
      <c r="X16" s="10" t="inlineStr">
        <is>
          <t>Retained: documentation standards feed all SOP books</t>
        </is>
      </c>
    </row>
    <row r="17">
      <c r="A17" s="14" t="inlineStr">
        <is>
          <t>CM-CMN-13</t>
        </is>
      </c>
      <c r="B17" s="15" t="inlineStr">
        <is>
          <t>Employee Acknowledgement and Policy Acceptance Handbook</t>
        </is>
      </c>
      <c r="C17" s="14" t="inlineStr">
        <is>
          <t>Group Common</t>
        </is>
      </c>
      <c r="D17" s="14" t="inlineStr">
        <is>
          <t>HR</t>
        </is>
      </c>
      <c r="E17" s="14" t="inlineStr">
        <is>
          <t>Common Handbook</t>
        </is>
      </c>
      <c r="F17" s="16" t="inlineStr">
        <is>
          <t>L1-L5</t>
        </is>
      </c>
      <c r="G17" s="14" t="inlineStr">
        <is>
          <t>Internal</t>
        </is>
      </c>
      <c r="H17" s="14" t="inlineStr">
        <is>
          <t>Group HR</t>
        </is>
      </c>
      <c r="I17" s="16" t="inlineStr">
        <is>
          <t>Yes</t>
        </is>
      </c>
      <c r="J17" s="12" t="inlineStr">
        <is>
          <t>Yes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SDA-CRS-CM-CMN-13</t>
        </is>
      </c>
      <c r="P17" s="15" t="inlineStr">
        <is>
          <t>SD Academy/01_Common_SD_Group</t>
        </is>
      </c>
      <c r="Q17" s="15" t="inlineStr">
        <is>
          <t>SDG_Common_Employee_Acknowledgement_and_Policy_Acceptance_Handbook_L1-L5_V1.0.pdf</t>
        </is>
      </c>
      <c r="R17" s="16" t="n">
        <v>1</v>
      </c>
      <c r="S17" s="14" t="inlineStr">
        <is>
          <t>PDF Final Checked</t>
        </is>
      </c>
      <c r="T17" s="16" t="inlineStr">
        <is>
          <t>Critical</t>
        </is>
      </c>
      <c r="U17" s="16" t="inlineStr">
        <is>
          <t>Wave 1</t>
        </is>
      </c>
      <c r="V17" s="14" t="inlineStr">
        <is>
          <t>Annual + on law change</t>
        </is>
      </c>
      <c r="W17" s="17" t="n">
        <v>46478</v>
      </c>
      <c r="X17" s="15" t="inlineStr">
        <is>
          <t>Mandated 5-17: how e-sign acknowledgement works and its legal standing</t>
        </is>
      </c>
    </row>
    <row r="18">
      <c r="A18" s="9" t="inlineStr">
        <is>
          <t>CM-CMN-14</t>
        </is>
      </c>
      <c r="B18" s="10" t="inlineStr">
        <is>
          <t>SD Academy Learning Access and Completion Handbook</t>
        </is>
      </c>
      <c r="C18" s="9" t="inlineStr">
        <is>
          <t>Group Common</t>
        </is>
      </c>
      <c r="D18" s="9" t="inlineStr">
        <is>
          <t>SD Academy</t>
        </is>
      </c>
      <c r="E18" s="9" t="inlineStr">
        <is>
          <t>Common Handbook</t>
        </is>
      </c>
      <c r="F18" s="11" t="inlineStr">
        <is>
          <t>L1-L5</t>
        </is>
      </c>
      <c r="G18" s="9" t="inlineStr">
        <is>
          <t>Internal</t>
        </is>
      </c>
      <c r="H18" s="9" t="inlineStr">
        <is>
          <t>Group HR</t>
        </is>
      </c>
      <c r="I18" s="11" t="inlineStr">
        <is>
          <t>Yes</t>
        </is>
      </c>
      <c r="J18" s="11" t="inlineStr">
        <is>
          <t>No</t>
        </is>
      </c>
      <c r="K18" s="11" t="inlineStr">
        <is>
          <t>Yes</t>
        </is>
      </c>
      <c r="L18" s="11" t="inlineStr">
        <is>
          <t>Yes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SDA-CRS-CM-CMN-14</t>
        </is>
      </c>
      <c r="P18" s="10" t="inlineStr">
        <is>
          <t>SD Academy/01_Common_SD_Group</t>
        </is>
      </c>
      <c r="Q18" s="10" t="inlineStr">
        <is>
          <t>SDG_Common_Learning_Access_and_Completion_Handbook_L1-L5_V1.0.pdf</t>
        </is>
      </c>
      <c r="R18" s="11" t="n">
        <v>1</v>
      </c>
      <c r="S18" s="9" t="inlineStr">
        <is>
          <t>PDF Final Checked</t>
        </is>
      </c>
      <c r="T18" s="11" t="inlineStr">
        <is>
          <t>Critical</t>
        </is>
      </c>
      <c r="U18" s="11" t="inlineStr">
        <is>
          <t>Wave 1</t>
        </is>
      </c>
      <c r="V18" s="9" t="inlineStr">
        <is>
          <t>Annual</t>
        </is>
      </c>
      <c r="W18" s="13" t="n">
        <v>46478</v>
      </c>
      <c r="X18" s="10" t="inlineStr">
        <is>
          <t>Was SD Academy Learning Handbook</t>
        </is>
      </c>
    </row>
    <row r="19">
      <c r="A19" s="14" t="inlineStr">
        <is>
          <t>CM-CMP-01</t>
        </is>
      </c>
      <c r="B19" s="15" t="inlineStr">
        <is>
          <t>Code of Conduct, Ethics &amp; Business Integrity Handbook</t>
        </is>
      </c>
      <c r="C19" s="14" t="inlineStr">
        <is>
          <t>Group Common</t>
        </is>
      </c>
      <c r="D19" s="14" t="inlineStr">
        <is>
          <t>All Departments</t>
        </is>
      </c>
      <c r="E19" s="14" t="inlineStr">
        <is>
          <t>Compliance Handbook</t>
        </is>
      </c>
      <c r="F19" s="16" t="inlineStr">
        <is>
          <t>L1-L5</t>
        </is>
      </c>
      <c r="G19" s="14" t="inlineStr">
        <is>
          <t>Internal</t>
        </is>
      </c>
      <c r="H19" s="14" t="inlineStr">
        <is>
          <t>Group HR</t>
        </is>
      </c>
      <c r="I19" s="16" t="inlineStr">
        <is>
          <t>Yes</t>
        </is>
      </c>
      <c r="J19" s="12" t="inlineStr">
        <is>
          <t>Yes</t>
        </is>
      </c>
      <c r="K19" s="16" t="inlineStr">
        <is>
          <t>Yes</t>
        </is>
      </c>
      <c r="L19" s="16" t="inlineStr">
        <is>
          <t>Yes</t>
        </is>
      </c>
      <c r="M19" s="18" t="inlineStr">
        <is>
          <t>Yes</t>
        </is>
      </c>
      <c r="N19" s="16" t="n">
        <v>80</v>
      </c>
      <c r="O19" s="14" t="inlineStr">
        <is>
          <t>SDA-CRS-CM-CMP-01</t>
        </is>
      </c>
      <c r="P19" s="15" t="inlineStr">
        <is>
          <t>SD Academy/01_Common_SD_Group</t>
        </is>
      </c>
      <c r="Q19" s="15" t="inlineStr">
        <is>
          <t>SDG_Common_Code_of_Conduct_Ethics_Business_Integrity_Handbook_L1-L5_V1.0.pdf</t>
        </is>
      </c>
      <c r="R19" s="16" t="n">
        <v>1</v>
      </c>
      <c r="S19" s="14" t="inlineStr">
        <is>
          <t>PDF Final Checked</t>
        </is>
      </c>
      <c r="T19" s="16" t="inlineStr">
        <is>
          <t>Critical</t>
        </is>
      </c>
      <c r="U19" s="16" t="inlineStr">
        <is>
          <t>Wave 1</t>
        </is>
      </c>
      <c r="V19" s="14" t="inlineStr">
        <is>
          <t>Annual + on law change</t>
        </is>
      </c>
      <c r="W19" s="17" t="n">
        <v>46478</v>
      </c>
      <c r="X19" s="15" t="inlineStr">
        <is>
          <t>Anti-bribery, COI, gifts, anti-fraud, whistle-blower, integrity</t>
        </is>
      </c>
    </row>
    <row r="20">
      <c r="A20" s="9" t="inlineStr">
        <is>
          <t>CM-CMP-02</t>
        </is>
      </c>
      <c r="B20" s="10" t="inlineStr">
        <is>
          <t>POSH Handbook</t>
        </is>
      </c>
      <c r="C20" s="9" t="inlineStr">
        <is>
          <t>Group Common</t>
        </is>
      </c>
      <c r="D20" s="9" t="inlineStr">
        <is>
          <t>HR</t>
        </is>
      </c>
      <c r="E20" s="9" t="inlineStr">
        <is>
          <t>Compliance Handbook</t>
        </is>
      </c>
      <c r="F20" s="11" t="inlineStr">
        <is>
          <t>L1-L5</t>
        </is>
      </c>
      <c r="G20" s="9" t="inlineStr">
        <is>
          <t>Internal</t>
        </is>
      </c>
      <c r="H20" s="9" t="inlineStr">
        <is>
          <t>Group HR</t>
        </is>
      </c>
      <c r="I20" s="11" t="inlineStr">
        <is>
          <t>Yes</t>
        </is>
      </c>
      <c r="J20" s="12" t="inlineStr">
        <is>
          <t>Yes</t>
        </is>
      </c>
      <c r="K20" s="11" t="inlineStr">
        <is>
          <t>Yes</t>
        </is>
      </c>
      <c r="L20" s="11" t="inlineStr">
        <is>
          <t>Yes</t>
        </is>
      </c>
      <c r="M20" s="18" t="inlineStr">
        <is>
          <t>Yes</t>
        </is>
      </c>
      <c r="N20" s="11" t="n">
        <v>80</v>
      </c>
      <c r="O20" s="9" t="inlineStr">
        <is>
          <t>SDA-CRS-CM-CMP-02</t>
        </is>
      </c>
      <c r="P20" s="10" t="inlineStr">
        <is>
          <t>SD Academy/01_Common_SD_Group</t>
        </is>
      </c>
      <c r="Q20" s="10" t="inlineStr">
        <is>
          <t>SDG_Common_POSH_Handbook_L1-L5_V1.0.pdf</t>
        </is>
      </c>
      <c r="R20" s="11" t="n">
        <v>1</v>
      </c>
      <c r="S20" s="9" t="inlineStr">
        <is>
          <t>PDF Final Checked</t>
        </is>
      </c>
      <c r="T20" s="11" t="inlineStr">
        <is>
          <t>Critical</t>
        </is>
      </c>
      <c r="U20" s="11" t="inlineStr">
        <is>
          <t>Wave 1</t>
        </is>
      </c>
      <c r="V20" s="9" t="inlineStr">
        <is>
          <t>Annual + on law change</t>
        </is>
      </c>
      <c r="W20" s="13" t="n">
        <v>46478</v>
      </c>
      <c r="X20" s="10" t="inlineStr">
        <is>
          <t>POSH Act 2013; IC per location</t>
        </is>
      </c>
    </row>
    <row r="21">
      <c r="A21" s="14" t="inlineStr">
        <is>
          <t>CM-CMP-03</t>
        </is>
      </c>
      <c r="B21" s="15" t="inlineStr">
        <is>
          <t>Data Privacy, Consent &amp; DPDP Compliance Handbook</t>
        </is>
      </c>
      <c r="C21" s="14" t="inlineStr">
        <is>
          <t>Group Common</t>
        </is>
      </c>
      <c r="D21" s="14" t="inlineStr">
        <is>
          <t>All Departments</t>
        </is>
      </c>
      <c r="E21" s="14" t="inlineStr">
        <is>
          <t>Compliance Handbook</t>
        </is>
      </c>
      <c r="F21" s="16" t="inlineStr">
        <is>
          <t>L2-L5</t>
        </is>
      </c>
      <c r="G21" s="14" t="inlineStr">
        <is>
          <t>Internal</t>
        </is>
      </c>
      <c r="H21" s="14" t="inlineStr">
        <is>
          <t>Group HR</t>
        </is>
      </c>
      <c r="I21" s="16" t="inlineStr">
        <is>
          <t>Yes</t>
        </is>
      </c>
      <c r="J21" s="12" t="inlineStr">
        <is>
          <t>Yes</t>
        </is>
      </c>
      <c r="K21" s="16" t="inlineStr">
        <is>
          <t>Yes</t>
        </is>
      </c>
      <c r="L21" s="16" t="inlineStr">
        <is>
          <t>Yes</t>
        </is>
      </c>
      <c r="M21" s="18" t="inlineStr">
        <is>
          <t>Yes</t>
        </is>
      </c>
      <c r="N21" s="16" t="n">
        <v>80</v>
      </c>
      <c r="O21" s="14" t="inlineStr">
        <is>
          <t>SDA-CRS-CM-CMP-03</t>
        </is>
      </c>
      <c r="P21" s="15" t="inlineStr">
        <is>
          <t>SD Academy/01_Common_SD_Group</t>
        </is>
      </c>
      <c r="Q21" s="15" t="inlineStr">
        <is>
          <t>SDG_Common_Data_Privacy_Consent_DPDP_Compliance_Handbook_L2-L5_V1.0.pdf</t>
        </is>
      </c>
      <c r="R21" s="16" t="n">
        <v>1</v>
      </c>
      <c r="S21" s="14" t="inlineStr">
        <is>
          <t>PDF Final Checked</t>
        </is>
      </c>
      <c r="T21" s="16" t="inlineStr">
        <is>
          <t>Critical</t>
        </is>
      </c>
      <c r="U21" s="16" t="inlineStr">
        <is>
          <t>Wave 1</t>
        </is>
      </c>
      <c r="V21" s="14" t="inlineStr">
        <is>
          <t>Annual + on law change</t>
        </is>
      </c>
      <c r="W21" s="17" t="n">
        <v>46478</v>
      </c>
      <c r="X21" s="15" t="inlineStr">
        <is>
          <t>DPDP Act 2023 across employee/client/vendor/student/respondent data</t>
        </is>
      </c>
    </row>
    <row r="22">
      <c r="A22" s="9" t="inlineStr">
        <is>
          <t>CM-CMP-04</t>
        </is>
      </c>
      <c r="B22" s="10" t="inlineStr">
        <is>
          <t>Vendor, Supplier &amp; Contractor Code of Conduct Handbook</t>
        </is>
      </c>
      <c r="C22" s="9" t="inlineStr">
        <is>
          <t>Group Common</t>
        </is>
      </c>
      <c r="D22" s="9" t="inlineStr">
        <is>
          <t>Procurement</t>
        </is>
      </c>
      <c r="E22" s="9" t="inlineStr">
        <is>
          <t>Compliance Handbook</t>
        </is>
      </c>
      <c r="F22" s="11" t="inlineStr">
        <is>
          <t>L2-L5</t>
        </is>
      </c>
      <c r="G22" s="9" t="inlineStr">
        <is>
          <t>Controlled External</t>
        </is>
      </c>
      <c r="H22" s="9" t="inlineStr">
        <is>
          <t>Group HR</t>
        </is>
      </c>
      <c r="I22" s="11" t="inlineStr">
        <is>
          <t>Yes</t>
        </is>
      </c>
      <c r="J22" s="12" t="inlineStr">
        <is>
          <t>Yes</t>
        </is>
      </c>
      <c r="K22" s="11" t="inlineStr">
        <is>
          <t>Yes</t>
        </is>
      </c>
      <c r="L22" s="11" t="inlineStr">
        <is>
          <t>Yes</t>
        </is>
      </c>
      <c r="M22" s="18" t="inlineStr">
        <is>
          <t>Yes</t>
        </is>
      </c>
      <c r="N22" s="11" t="n">
        <v>80</v>
      </c>
      <c r="O22" s="9" t="inlineStr">
        <is>
          <t>SDA-CRS-CM-CMP-04</t>
        </is>
      </c>
      <c r="P22" s="10" t="inlineStr">
        <is>
          <t>SD Academy/01_Common_SD_Group</t>
        </is>
      </c>
      <c r="Q22" s="10" t="inlineStr">
        <is>
          <t>SDG_Common_Vendor_Supplier_Contractor_Code_of_Conduct_Handbook_L2-L5_V1.0.pdf</t>
        </is>
      </c>
      <c r="R22" s="11" t="n">
        <v>1</v>
      </c>
      <c r="S22" s="9" t="inlineStr">
        <is>
          <t>PDF Final Checked</t>
        </is>
      </c>
      <c r="T22" s="11" t="inlineStr">
        <is>
          <t>Critical</t>
        </is>
      </c>
      <c r="U22" s="11" t="inlineStr">
        <is>
          <t>Wave 1</t>
        </is>
      </c>
      <c r="V22" s="9" t="inlineStr">
        <is>
          <t>Annual + on law change</t>
        </is>
      </c>
      <c r="W22" s="13" t="n">
        <v>46478</v>
      </c>
      <c r="X22" s="10" t="inlineStr">
        <is>
          <t>Controlled external sharing with vendors</t>
        </is>
      </c>
    </row>
    <row r="23">
      <c r="A23" s="14" t="inlineStr">
        <is>
          <t>CM-CMN-12</t>
        </is>
      </c>
      <c r="B23" s="15" t="inlineStr">
        <is>
          <t>Performance Improvement Plan &amp; Corrective Action Handbook</t>
        </is>
      </c>
      <c r="C23" s="14" t="inlineStr">
        <is>
          <t>Group Common</t>
        </is>
      </c>
      <c r="D23" s="14" t="inlineStr">
        <is>
          <t>HR</t>
        </is>
      </c>
      <c r="E23" s="14" t="inlineStr">
        <is>
          <t>Common Handbook</t>
        </is>
      </c>
      <c r="F23" s="16" t="inlineStr">
        <is>
          <t>L4-L5</t>
        </is>
      </c>
      <c r="G23" s="14" t="inlineStr">
        <is>
          <t>Restricted</t>
        </is>
      </c>
      <c r="H23" s="14" t="inlineStr">
        <is>
          <t>Group HR</t>
        </is>
      </c>
      <c r="I23" s="16" t="inlineStr">
        <is>
          <t>Yes</t>
        </is>
      </c>
      <c r="J23" s="12" t="inlineStr">
        <is>
          <t>Yes</t>
        </is>
      </c>
      <c r="K23" s="16" t="inlineStr">
        <is>
          <t>Yes</t>
        </is>
      </c>
      <c r="L23" s="16" t="inlineStr">
        <is>
          <t>Yes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SDA-CRS-CM-CMN-12</t>
        </is>
      </c>
      <c r="P23" s="15" t="inlineStr">
        <is>
          <t>SD Academy/01_Common_SD_Group</t>
        </is>
      </c>
      <c r="Q23" s="15" t="inlineStr">
        <is>
          <t>SDG_Common_Performance_Improvement_Plan_Corrective_Action_Handbook_L4-L5_V1.0.pdf</t>
        </is>
      </c>
      <c r="R23" s="16" t="n">
        <v>1</v>
      </c>
      <c r="S23" s="14" t="inlineStr">
        <is>
          <t>PDF Final Checked</t>
        </is>
      </c>
      <c r="T23" s="16" t="inlineStr">
        <is>
          <t>High</t>
        </is>
      </c>
      <c r="U23" s="16" t="inlineStr">
        <is>
          <t>Wave 6</t>
        </is>
      </c>
      <c r="V23" s="14" t="inlineStr">
        <is>
          <t>Annual + on law change</t>
        </is>
      </c>
      <c r="W23" s="17" t="n">
        <v>46478</v>
      </c>
      <c r="X23" s="15" t="inlineStr">
        <is>
          <t>Mandated 5-16: PIP stages, corrective action records</t>
        </is>
      </c>
    </row>
    <row r="24">
      <c r="A24" s="9" t="inlineStr">
        <is>
          <t>CM-LDR-01</t>
        </is>
      </c>
      <c r="B24" s="10" t="inlineStr">
        <is>
          <t>SD Group Leadership Principles Handbook</t>
        </is>
      </c>
      <c r="C24" s="9" t="inlineStr">
        <is>
          <t>Leadership &amp; Management</t>
        </is>
      </c>
      <c r="D24" s="9" t="inlineStr">
        <is>
          <t>Leadership</t>
        </is>
      </c>
      <c r="E24" s="9" t="inlineStr">
        <is>
          <t>Leadership Handbook</t>
        </is>
      </c>
      <c r="F24" s="11" t="inlineStr">
        <is>
          <t>L1-L5</t>
        </is>
      </c>
      <c r="G24" s="9" t="inlineStr">
        <is>
          <t>Internal</t>
        </is>
      </c>
      <c r="H24" s="9" t="inlineStr">
        <is>
          <t>Group CHRO Office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Yes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SDA-CRS-CM-LDR-01</t>
        </is>
      </c>
      <c r="P24" s="10" t="inlineStr">
        <is>
          <t>SD Academy/09_Leadership_Management</t>
        </is>
      </c>
      <c r="Q24" s="10" t="inlineStr">
        <is>
          <t>SDG_SDGroup_Leadership_Principles_Handbook_L1-L5_V1.0.pdf</t>
        </is>
      </c>
      <c r="R24" s="11" t="n">
        <v>1</v>
      </c>
      <c r="S24" s="9" t="inlineStr">
        <is>
          <t>PDF Final Checked</t>
        </is>
      </c>
      <c r="T24" s="11" t="inlineStr">
        <is>
          <t>High</t>
        </is>
      </c>
      <c r="U24" s="11" t="inlineStr">
        <is>
          <t>Wave 6</t>
        </is>
      </c>
      <c r="V24" s="9" t="inlineStr">
        <is>
          <t>Annual</t>
        </is>
      </c>
      <c r="W24" s="13" t="n">
        <v>46478</v>
      </c>
      <c r="X24" s="10" t="inlineStr">
        <is>
          <t>Values-only edition; open to all levels</t>
        </is>
      </c>
    </row>
    <row r="25">
      <c r="A25" s="14" t="inlineStr">
        <is>
          <t>CM-LDR-02</t>
        </is>
      </c>
      <c r="B25" s="15" t="inlineStr">
        <is>
          <t>SD Group Leadership Operating Handbook</t>
        </is>
      </c>
      <c r="C25" s="14" t="inlineStr">
        <is>
          <t>Leadership &amp; Management</t>
        </is>
      </c>
      <c r="D25" s="14" t="inlineStr">
        <is>
          <t>Leadership</t>
        </is>
      </c>
      <c r="E25" s="14" t="inlineStr">
        <is>
          <t>Leadership Handbook</t>
        </is>
      </c>
      <c r="F25" s="16" t="inlineStr">
        <is>
          <t>L5</t>
        </is>
      </c>
      <c r="G25" s="14" t="inlineStr">
        <is>
          <t>Confidential</t>
        </is>
      </c>
      <c r="H25" s="14" t="inlineStr">
        <is>
          <t>Group CHRO Office</t>
        </is>
      </c>
      <c r="I25" s="16" t="inlineStr">
        <is>
          <t>Yes</t>
        </is>
      </c>
      <c r="J25" s="12" t="inlineStr">
        <is>
          <t>Yes</t>
        </is>
      </c>
      <c r="K25" s="16" t="inlineStr">
        <is>
          <t>Yes</t>
        </is>
      </c>
      <c r="L25" s="16" t="inlineStr">
        <is>
          <t>Yes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SDA-CRS-CM-LDR-02</t>
        </is>
      </c>
      <c r="P25" s="15" t="inlineStr">
        <is>
          <t>SD Academy/09_Leadership_Management</t>
        </is>
      </c>
      <c r="Q25" s="15" t="inlineStr">
        <is>
          <t>SDG_SDGroup_Leadership_Operating_Handbook_L5_V1.0.pdf</t>
        </is>
      </c>
      <c r="R25" s="16" t="n">
        <v>1</v>
      </c>
      <c r="S25" s="14" t="inlineStr">
        <is>
          <t>PDF Final Checked</t>
        </is>
      </c>
      <c r="T25" s="16" t="inlineStr">
        <is>
          <t>High</t>
        </is>
      </c>
      <c r="U25" s="16" t="inlineStr">
        <is>
          <t>Wave 6</t>
        </is>
      </c>
      <c r="V25" s="14" t="inlineStr">
        <is>
          <t>Annual + on law change</t>
        </is>
      </c>
      <c r="W25" s="17" t="n">
        <v>46478</v>
      </c>
      <c r="X25" s="15" t="inlineStr">
        <is>
          <t>Authority, decision power, confidential governance - L5 only</t>
        </is>
      </c>
    </row>
    <row r="26">
      <c r="A26" s="9" t="inlineStr">
        <is>
          <t>CM-LDR-03</t>
        </is>
      </c>
      <c r="B26" s="10" t="inlineStr">
        <is>
          <t>Strategic Planning and Review Handbook</t>
        </is>
      </c>
      <c r="C26" s="9" t="inlineStr">
        <is>
          <t>Leadership &amp; Management</t>
        </is>
      </c>
      <c r="D26" s="9" t="inlineStr">
        <is>
          <t>Leadership</t>
        </is>
      </c>
      <c r="E26" s="9" t="inlineStr">
        <is>
          <t>Leadership Handbook</t>
        </is>
      </c>
      <c r="F26" s="11" t="inlineStr">
        <is>
          <t>L5</t>
        </is>
      </c>
      <c r="G26" s="9" t="inlineStr">
        <is>
          <t>Confidential</t>
        </is>
      </c>
      <c r="H26" s="9" t="inlineStr">
        <is>
          <t>Group CHRO Office</t>
        </is>
      </c>
      <c r="I26" s="11" t="inlineStr">
        <is>
          <t>Yes</t>
        </is>
      </c>
      <c r="J26" s="11" t="inlineStr">
        <is>
          <t>No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-</t>
        </is>
      </c>
      <c r="O26" s="9" t="inlineStr">
        <is>
          <t>SDA-CRS-CM-LDR-03</t>
        </is>
      </c>
      <c r="P26" s="10" t="inlineStr">
        <is>
          <t>SD Academy/09_Leadership_Management</t>
        </is>
      </c>
      <c r="Q26" s="10" t="inlineStr">
        <is>
          <t>SDG_SDGroup_Strategic_Planning_and_Review_Handbook_L5_V1.0.pdf</t>
        </is>
      </c>
      <c r="R26" s="11" t="n">
        <v>1</v>
      </c>
      <c r="S26" s="9" t="inlineStr">
        <is>
          <t>PDF Final Checked</t>
        </is>
      </c>
      <c r="T26" s="11" t="inlineStr">
        <is>
          <t>High</t>
        </is>
      </c>
      <c r="U26" s="11" t="inlineStr">
        <is>
          <t>Wave 6</t>
        </is>
      </c>
      <c r="V26" s="9" t="inlineStr">
        <is>
          <t>Annual</t>
        </is>
      </c>
      <c r="W26" s="13" t="n">
        <v>46478</v>
      </c>
      <c r="X26" s="10" t="inlineStr">
        <is>
          <t>Founder/director strategy - Confidential</t>
        </is>
      </c>
    </row>
    <row r="27">
      <c r="A27" s="14" t="inlineStr">
        <is>
          <t>CM-MGT-01</t>
        </is>
      </c>
      <c r="B27" s="15" t="inlineStr">
        <is>
          <t>SD Group Management Handbook</t>
        </is>
      </c>
      <c r="C27" s="14" t="inlineStr">
        <is>
          <t>Leadership &amp; Management</t>
        </is>
      </c>
      <c r="D27" s="14" t="inlineStr">
        <is>
          <t>Management</t>
        </is>
      </c>
      <c r="E27" s="14" t="inlineStr">
        <is>
          <t>Management Handbook</t>
        </is>
      </c>
      <c r="F27" s="16" t="inlineStr">
        <is>
          <t>L4-L5</t>
        </is>
      </c>
      <c r="G27" s="14" t="inlineStr">
        <is>
          <t>Restricted</t>
        </is>
      </c>
      <c r="H27" s="14" t="inlineStr">
        <is>
          <t>Group CHRO Office</t>
        </is>
      </c>
      <c r="I27" s="16" t="inlineStr">
        <is>
          <t>Yes</t>
        </is>
      </c>
      <c r="J27" s="16" t="inlineStr">
        <is>
          <t>No</t>
        </is>
      </c>
      <c r="K27" s="16" t="inlineStr">
        <is>
          <t>Yes</t>
        </is>
      </c>
      <c r="L27" s="16" t="inlineStr">
        <is>
          <t>Yes</t>
        </is>
      </c>
      <c r="M27" s="16" t="inlineStr">
        <is>
          <t>No</t>
        </is>
      </c>
      <c r="N27" s="16" t="inlineStr">
        <is>
          <t>-</t>
        </is>
      </c>
      <c r="O27" s="14" t="inlineStr">
        <is>
          <t>SDA-CRS-CM-MGT-01</t>
        </is>
      </c>
      <c r="P27" s="15" t="inlineStr">
        <is>
          <t>SD Academy/09_Leadership_Management</t>
        </is>
      </c>
      <c r="Q27" s="15" t="inlineStr">
        <is>
          <t>SDG_SDGroup_Management_Handbook_L4-L5_V1.0.pdf</t>
        </is>
      </c>
      <c r="R27" s="16" t="n">
        <v>1</v>
      </c>
      <c r="S27" s="14" t="inlineStr">
        <is>
          <t>PDF Final Checked</t>
        </is>
      </c>
      <c r="T27" s="16" t="inlineStr">
        <is>
          <t>High</t>
        </is>
      </c>
      <c r="U27" s="16" t="inlineStr">
        <is>
          <t>Wave 6</t>
        </is>
      </c>
      <c r="V27" s="14" t="inlineStr">
        <is>
          <t>Annual</t>
        </is>
      </c>
      <c r="W27" s="17" t="n">
        <v>46478</v>
      </c>
      <c r="X27" s="15" t="inlineStr">
        <is>
          <t>Group-level management operating standard</t>
        </is>
      </c>
    </row>
    <row r="28">
      <c r="A28" s="9" t="inlineStr">
        <is>
          <t>CM-MGT-02</t>
        </is>
      </c>
      <c r="B28" s="10" t="inlineStr">
        <is>
          <t>Department HOD Handbook</t>
        </is>
      </c>
      <c r="C28" s="9" t="inlineStr">
        <is>
          <t>Leadership &amp; Management</t>
        </is>
      </c>
      <c r="D28" s="9" t="inlineStr">
        <is>
          <t>Management</t>
        </is>
      </c>
      <c r="E28" s="9" t="inlineStr">
        <is>
          <t>Management Handbook</t>
        </is>
      </c>
      <c r="F28" s="11" t="inlineStr">
        <is>
          <t>L4-L5</t>
        </is>
      </c>
      <c r="G28" s="9" t="inlineStr">
        <is>
          <t>Restricted</t>
        </is>
      </c>
      <c r="H28" s="9" t="inlineStr">
        <is>
          <t>Group CHRO Office</t>
        </is>
      </c>
      <c r="I28" s="11" t="inlineStr">
        <is>
          <t>Yes</t>
        </is>
      </c>
      <c r="J28" s="11" t="inlineStr">
        <is>
          <t>No</t>
        </is>
      </c>
      <c r="K28" s="11" t="inlineStr">
        <is>
          <t>Yes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-</t>
        </is>
      </c>
      <c r="O28" s="9" t="inlineStr">
        <is>
          <t>SDA-CRS-CM-MGT-02</t>
        </is>
      </c>
      <c r="P28" s="10" t="inlineStr">
        <is>
          <t>SD Academy/09_Leadership_Management</t>
        </is>
      </c>
      <c r="Q28" s="10" t="inlineStr">
        <is>
          <t>SDG_SDGroup_Department_HOD_Handbook_L4-L5_V1.0.pdf</t>
        </is>
      </c>
      <c r="R28" s="11" t="n">
        <v>1</v>
      </c>
      <c r="S28" s="9" t="inlineStr">
        <is>
          <t>PDF Final Checked</t>
        </is>
      </c>
      <c r="T28" s="11" t="inlineStr">
        <is>
          <t>High</t>
        </is>
      </c>
      <c r="U28" s="11" t="inlineStr">
        <is>
          <t>Wave 6</t>
        </is>
      </c>
      <c r="V28" s="9" t="inlineStr">
        <is>
          <t>Annual</t>
        </is>
      </c>
      <c r="W28" s="13" t="n">
        <v>46478</v>
      </c>
      <c r="X28" s="10" t="inlineStr">
        <is>
          <t>Was Department HOD Operations Handbook</t>
        </is>
      </c>
    </row>
    <row r="29">
      <c r="A29" s="14" t="inlineStr">
        <is>
          <t>CM-MGT-03</t>
        </is>
      </c>
      <c r="B29" s="15" t="inlineStr">
        <is>
          <t>Team Leader Handbook</t>
        </is>
      </c>
      <c r="C29" s="14" t="inlineStr">
        <is>
          <t>Leadership &amp; Management</t>
        </is>
      </c>
      <c r="D29" s="14" t="inlineStr">
        <is>
          <t>Management</t>
        </is>
      </c>
      <c r="E29" s="14" t="inlineStr">
        <is>
          <t>Management Handbook</t>
        </is>
      </c>
      <c r="F29" s="16" t="inlineStr">
        <is>
          <t>L3-L5</t>
        </is>
      </c>
      <c r="G29" s="14" t="inlineStr">
        <is>
          <t>Internal</t>
        </is>
      </c>
      <c r="H29" s="14" t="inlineStr">
        <is>
          <t>Group CHRO Office</t>
        </is>
      </c>
      <c r="I29" s="16" t="inlineStr">
        <is>
          <t>Yes</t>
        </is>
      </c>
      <c r="J29" s="16" t="inlineStr">
        <is>
          <t>No</t>
        </is>
      </c>
      <c r="K29" s="16" t="inlineStr">
        <is>
          <t>Yes</t>
        </is>
      </c>
      <c r="L29" s="16" t="inlineStr">
        <is>
          <t>Yes</t>
        </is>
      </c>
      <c r="M29" s="16" t="inlineStr">
        <is>
          <t>No</t>
        </is>
      </c>
      <c r="N29" s="16" t="inlineStr">
        <is>
          <t>-</t>
        </is>
      </c>
      <c r="O29" s="14" t="inlineStr">
        <is>
          <t>SDA-CRS-CM-MGT-03</t>
        </is>
      </c>
      <c r="P29" s="15" t="inlineStr">
        <is>
          <t>SD Academy/09_Leadership_Management</t>
        </is>
      </c>
      <c r="Q29" s="15" t="inlineStr">
        <is>
          <t>SDG_SDGroup_Team_Leader_Handbook_L3-L5_V1.0.pdf</t>
        </is>
      </c>
      <c r="R29" s="16" t="n">
        <v>1</v>
      </c>
      <c r="S29" s="14" t="inlineStr">
        <is>
          <t>PDF Final Checked</t>
        </is>
      </c>
      <c r="T29" s="16" t="inlineStr">
        <is>
          <t>High</t>
        </is>
      </c>
      <c r="U29" s="16" t="inlineStr">
        <is>
          <t>Wave 6</t>
        </is>
      </c>
      <c r="V29" s="14" t="inlineStr">
        <is>
          <t>Annual</t>
        </is>
      </c>
      <c r="W29" s="17" t="n">
        <v>46478</v>
      </c>
      <c r="X29" s="15" t="inlineStr"/>
    </row>
    <row r="30">
      <c r="A30" s="9" t="inlineStr">
        <is>
          <t>CM-MGT-04</t>
        </is>
      </c>
      <c r="B30" s="10" t="inlineStr">
        <is>
          <t>Management Review &amp; MIS Dashboard Handbook</t>
        </is>
      </c>
      <c r="C30" s="9" t="inlineStr">
        <is>
          <t>Leadership &amp; Management</t>
        </is>
      </c>
      <c r="D30" s="9" t="inlineStr">
        <is>
          <t>Management</t>
        </is>
      </c>
      <c r="E30" s="9" t="inlineStr">
        <is>
          <t>Management Handbook</t>
        </is>
      </c>
      <c r="F30" s="11" t="inlineStr">
        <is>
          <t>L4-L5</t>
        </is>
      </c>
      <c r="G30" s="9" t="inlineStr">
        <is>
          <t>Restricted</t>
        </is>
      </c>
      <c r="H30" s="9" t="inlineStr">
        <is>
          <t>Group CHRO Office</t>
        </is>
      </c>
      <c r="I30" s="11" t="inlineStr">
        <is>
          <t>Yes</t>
        </is>
      </c>
      <c r="J30" s="11" t="inlineStr">
        <is>
          <t>No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No</t>
        </is>
      </c>
      <c r="N30" s="11" t="inlineStr">
        <is>
          <t>-</t>
        </is>
      </c>
      <c r="O30" s="9" t="inlineStr">
        <is>
          <t>SDA-CRS-CM-MGT-04</t>
        </is>
      </c>
      <c r="P30" s="10" t="inlineStr">
        <is>
          <t>SD Academy/09_Leadership_Management</t>
        </is>
      </c>
      <c r="Q30" s="10" t="inlineStr">
        <is>
          <t>SDG_SDGroup_Management_Review_MIS_Dashboard_Handbook_L4-L5_V1.0.pdf</t>
        </is>
      </c>
      <c r="R30" s="11" t="n">
        <v>1</v>
      </c>
      <c r="S30" s="9" t="inlineStr">
        <is>
          <t>PDF Final Checked</t>
        </is>
      </c>
      <c r="T30" s="11" t="inlineStr">
        <is>
          <t>High</t>
        </is>
      </c>
      <c r="U30" s="11" t="inlineStr">
        <is>
          <t>Wave 6</t>
        </is>
      </c>
      <c r="V30" s="9" t="inlineStr">
        <is>
          <t>Annual</t>
        </is>
      </c>
      <c r="W30" s="13" t="n">
        <v>46478</v>
      </c>
      <c r="X30" s="10" t="inlineStr">
        <is>
          <t>Was Review Dashboard &amp; MIS; satisfies Management Review mandate</t>
        </is>
      </c>
    </row>
    <row r="31">
      <c r="A31" s="14" t="inlineStr">
        <is>
          <t>CM-MGT-05</t>
        </is>
      </c>
      <c r="B31" s="15" t="inlineStr">
        <is>
          <t>Performance Review &amp; Appraisal Handbook</t>
        </is>
      </c>
      <c r="C31" s="14" t="inlineStr">
        <is>
          <t>Leadership &amp; Management</t>
        </is>
      </c>
      <c r="D31" s="14" t="inlineStr">
        <is>
          <t>Management</t>
        </is>
      </c>
      <c r="E31" s="14" t="inlineStr">
        <is>
          <t>Management Handbook</t>
        </is>
      </c>
      <c r="F31" s="16" t="inlineStr">
        <is>
          <t>L4-L5</t>
        </is>
      </c>
      <c r="G31" s="14" t="inlineStr">
        <is>
          <t>Restricted</t>
        </is>
      </c>
      <c r="H31" s="14" t="inlineStr">
        <is>
          <t>Group CHRO Office</t>
        </is>
      </c>
      <c r="I31" s="16" t="inlineStr">
        <is>
          <t>Yes</t>
        </is>
      </c>
      <c r="J31" s="12" t="inlineStr">
        <is>
          <t>Yes</t>
        </is>
      </c>
      <c r="K31" s="16" t="inlineStr">
        <is>
          <t>Yes</t>
        </is>
      </c>
      <c r="L31" s="16" t="inlineStr">
        <is>
          <t>Yes</t>
        </is>
      </c>
      <c r="M31" s="16" t="inlineStr">
        <is>
          <t>No</t>
        </is>
      </c>
      <c r="N31" s="16" t="inlineStr">
        <is>
          <t>-</t>
        </is>
      </c>
      <c r="O31" s="14" t="inlineStr">
        <is>
          <t>SDA-CRS-CM-MGT-05</t>
        </is>
      </c>
      <c r="P31" s="15" t="inlineStr">
        <is>
          <t>SD Academy/09_Leadership_Management</t>
        </is>
      </c>
      <c r="Q31" s="15" t="inlineStr">
        <is>
          <t>SDG_SDGroup_Performance_Review_Appraisal_Handbook_L4-L5_V1.0.pdf</t>
        </is>
      </c>
      <c r="R31" s="16" t="n">
        <v>1</v>
      </c>
      <c r="S31" s="14" t="inlineStr">
        <is>
          <t>PDF Final Checked</t>
        </is>
      </c>
      <c r="T31" s="16" t="inlineStr">
        <is>
          <t>High</t>
        </is>
      </c>
      <c r="U31" s="16" t="inlineStr">
        <is>
          <t>Wave 6</t>
        </is>
      </c>
      <c r="V31" s="14" t="inlineStr">
        <is>
          <t>Annual + on law change</t>
        </is>
      </c>
      <c r="W31" s="17" t="n">
        <v>46478</v>
      </c>
      <c r="X31" s="15" t="inlineStr"/>
    </row>
    <row r="32">
      <c r="A32" s="9" t="inlineStr">
        <is>
          <t>CM-MGT-06</t>
        </is>
      </c>
      <c r="B32" s="10" t="inlineStr">
        <is>
          <t>Delegation of Authority &amp; Approval Matrix Handbook</t>
        </is>
      </c>
      <c r="C32" s="9" t="inlineStr">
        <is>
          <t>Leadership &amp; Management</t>
        </is>
      </c>
      <c r="D32" s="9" t="inlineStr">
        <is>
          <t>Management</t>
        </is>
      </c>
      <c r="E32" s="9" t="inlineStr">
        <is>
          <t>Management Handbook</t>
        </is>
      </c>
      <c r="F32" s="11" t="inlineStr">
        <is>
          <t>L4-L5</t>
        </is>
      </c>
      <c r="G32" s="9" t="inlineStr">
        <is>
          <t>Restricted</t>
        </is>
      </c>
      <c r="H32" s="9" t="inlineStr">
        <is>
          <t>Group CHRO Office</t>
        </is>
      </c>
      <c r="I32" s="11" t="inlineStr">
        <is>
          <t>Yes</t>
        </is>
      </c>
      <c r="J32" s="11" t="inlineStr">
        <is>
          <t>No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No</t>
        </is>
      </c>
      <c r="N32" s="11" t="inlineStr">
        <is>
          <t>-</t>
        </is>
      </c>
      <c r="O32" s="9" t="inlineStr">
        <is>
          <t>SDA-CRS-CM-MGT-06</t>
        </is>
      </c>
      <c r="P32" s="10" t="inlineStr">
        <is>
          <t>SD Academy/09_Leadership_Management</t>
        </is>
      </c>
      <c r="Q32" s="10" t="inlineStr">
        <is>
          <t>SDG_SDGroup_Delegation_of_Authority_Approval_Matrix_Handbook_L4-L5_V1.0.pdf</t>
        </is>
      </c>
      <c r="R32" s="11" t="n">
        <v>1</v>
      </c>
      <c r="S32" s="9" t="inlineStr">
        <is>
          <t>PDF Final Checked</t>
        </is>
      </c>
      <c r="T32" s="11" t="inlineStr">
        <is>
          <t>High</t>
        </is>
      </c>
      <c r="U32" s="11" t="inlineStr">
        <is>
          <t>Wave 6</t>
        </is>
      </c>
      <c r="V32" s="9" t="inlineStr">
        <is>
          <t>Annual</t>
        </is>
      </c>
      <c r="W32" s="13" t="n">
        <v>46478</v>
      </c>
      <c r="X32" s="10" t="inlineStr">
        <is>
          <t>Single DoA book; also satisfies Common list item 15</t>
        </is>
      </c>
    </row>
    <row r="33">
      <c r="A33" s="14" t="inlineStr">
        <is>
          <t>CM-MGT-07</t>
        </is>
      </c>
      <c r="B33" s="15" t="inlineStr">
        <is>
          <t>Business Target Review Handbook</t>
        </is>
      </c>
      <c r="C33" s="14" t="inlineStr">
        <is>
          <t>Leadership &amp; Management</t>
        </is>
      </c>
      <c r="D33" s="14" t="inlineStr">
        <is>
          <t>Management</t>
        </is>
      </c>
      <c r="E33" s="14" t="inlineStr">
        <is>
          <t>Management Handbook</t>
        </is>
      </c>
      <c r="F33" s="16" t="inlineStr">
        <is>
          <t>L4-L5</t>
        </is>
      </c>
      <c r="G33" s="14" t="inlineStr">
        <is>
          <t>Restricted</t>
        </is>
      </c>
      <c r="H33" s="14" t="inlineStr">
        <is>
          <t>Group CHRO Office</t>
        </is>
      </c>
      <c r="I33" s="16" t="inlineStr">
        <is>
          <t>Yes</t>
        </is>
      </c>
      <c r="J33" s="16" t="inlineStr">
        <is>
          <t>No</t>
        </is>
      </c>
      <c r="K33" s="16" t="inlineStr">
        <is>
          <t>Yes</t>
        </is>
      </c>
      <c r="L33" s="16" t="inlineStr">
        <is>
          <t>Yes</t>
        </is>
      </c>
      <c r="M33" s="16" t="inlineStr">
        <is>
          <t>No</t>
        </is>
      </c>
      <c r="N33" s="16" t="inlineStr">
        <is>
          <t>-</t>
        </is>
      </c>
      <c r="O33" s="14" t="inlineStr">
        <is>
          <t>SDA-CRS-CM-MGT-07</t>
        </is>
      </c>
      <c r="P33" s="15" t="inlineStr">
        <is>
          <t>SD Academy/09_Leadership_Management</t>
        </is>
      </c>
      <c r="Q33" s="15" t="inlineStr">
        <is>
          <t>SDG_SDGroup_Business_Target_Review_Handbook_L4-L5_V1.0.pdf</t>
        </is>
      </c>
      <c r="R33" s="16" t="n">
        <v>1</v>
      </c>
      <c r="S33" s="14" t="inlineStr">
        <is>
          <t>PDF Final Checked</t>
        </is>
      </c>
      <c r="T33" s="16" t="inlineStr">
        <is>
          <t>High</t>
        </is>
      </c>
      <c r="U33" s="16" t="inlineStr">
        <is>
          <t>Wave 6</t>
        </is>
      </c>
      <c r="V33" s="14" t="inlineStr">
        <is>
          <t>Annual</t>
        </is>
      </c>
      <c r="W33" s="17" t="n">
        <v>46478</v>
      </c>
      <c r="X33" s="15" t="inlineStr"/>
    </row>
    <row r="34">
      <c r="A34" s="9" t="inlineStr">
        <is>
          <t>CM-MGT-08</t>
        </is>
      </c>
      <c r="B34" s="10" t="inlineStr">
        <is>
          <t>Risk and Corrective Action Handbook</t>
        </is>
      </c>
      <c r="C34" s="9" t="inlineStr">
        <is>
          <t>Leadership &amp; Management</t>
        </is>
      </c>
      <c r="D34" s="9" t="inlineStr">
        <is>
          <t>Management</t>
        </is>
      </c>
      <c r="E34" s="9" t="inlineStr">
        <is>
          <t>Management Handbook</t>
        </is>
      </c>
      <c r="F34" s="11" t="inlineStr">
        <is>
          <t>L4-L5</t>
        </is>
      </c>
      <c r="G34" s="9" t="inlineStr">
        <is>
          <t>Restricted</t>
        </is>
      </c>
      <c r="H34" s="9" t="inlineStr">
        <is>
          <t>Group CHRO Office</t>
        </is>
      </c>
      <c r="I34" s="11" t="inlineStr">
        <is>
          <t>Yes</t>
        </is>
      </c>
      <c r="J34" s="11" t="inlineStr">
        <is>
          <t>No</t>
        </is>
      </c>
      <c r="K34" s="11" t="inlineStr">
        <is>
          <t>Yes</t>
        </is>
      </c>
      <c r="L34" s="11" t="inlineStr">
        <is>
          <t>Yes</t>
        </is>
      </c>
      <c r="M34" s="11" t="inlineStr">
        <is>
          <t>No</t>
        </is>
      </c>
      <c r="N34" s="11" t="inlineStr">
        <is>
          <t>-</t>
        </is>
      </c>
      <c r="O34" s="9" t="inlineStr">
        <is>
          <t>SDA-CRS-CM-MGT-08</t>
        </is>
      </c>
      <c r="P34" s="10" t="inlineStr">
        <is>
          <t>SD Academy/09_Leadership_Management</t>
        </is>
      </c>
      <c r="Q34" s="10" t="inlineStr">
        <is>
          <t>SDG_SDGroup_Risk_and_Corrective_Action_Handbook_L4-L5_V1.0.pdf</t>
        </is>
      </c>
      <c r="R34" s="11" t="n">
        <v>1</v>
      </c>
      <c r="S34" s="9" t="inlineStr">
        <is>
          <t>PDF Final Checked</t>
        </is>
      </c>
      <c r="T34" s="11" t="inlineStr">
        <is>
          <t>High</t>
        </is>
      </c>
      <c r="U34" s="11" t="inlineStr">
        <is>
          <t>Wave 6</t>
        </is>
      </c>
      <c r="V34" s="9" t="inlineStr">
        <is>
          <t>Annual</t>
        </is>
      </c>
      <c r="W34" s="13" t="n">
        <v>46478</v>
      </c>
      <c r="X34" s="10" t="inlineStr"/>
    </row>
    <row r="35">
      <c r="A35" s="14" t="inlineStr">
        <is>
          <t>CM-MGT-09</t>
        </is>
      </c>
      <c r="B35" s="15" t="inlineStr">
        <is>
          <t>Internal Audit and Compliance Review Handbook</t>
        </is>
      </c>
      <c r="C35" s="14" t="inlineStr">
        <is>
          <t>Leadership &amp; Management</t>
        </is>
      </c>
      <c r="D35" s="14" t="inlineStr">
        <is>
          <t>Management</t>
        </is>
      </c>
      <c r="E35" s="14" t="inlineStr">
        <is>
          <t>Management Handbook</t>
        </is>
      </c>
      <c r="F35" s="16" t="inlineStr">
        <is>
          <t>L4-L5</t>
        </is>
      </c>
      <c r="G35" s="14" t="inlineStr">
        <is>
          <t>Restricted</t>
        </is>
      </c>
      <c r="H35" s="14" t="inlineStr">
        <is>
          <t>Group CHRO Office</t>
        </is>
      </c>
      <c r="I35" s="16" t="inlineStr">
        <is>
          <t>Yes</t>
        </is>
      </c>
      <c r="J35" s="16" t="inlineStr">
        <is>
          <t>No</t>
        </is>
      </c>
      <c r="K35" s="16" t="inlineStr">
        <is>
          <t>Yes</t>
        </is>
      </c>
      <c r="L35" s="16" t="inlineStr">
        <is>
          <t>Yes</t>
        </is>
      </c>
      <c r="M35" s="18" t="inlineStr">
        <is>
          <t>Yes</t>
        </is>
      </c>
      <c r="N35" s="16" t="n">
        <v>80</v>
      </c>
      <c r="O35" s="14" t="inlineStr">
        <is>
          <t>SDA-CRS-CM-MGT-09</t>
        </is>
      </c>
      <c r="P35" s="15" t="inlineStr">
        <is>
          <t>SD Academy/09_Leadership_Management</t>
        </is>
      </c>
      <c r="Q35" s="15" t="inlineStr">
        <is>
          <t>SDG_SDGroup_Internal_Audit_and_Compliance_Review_Handbook_L4-L5_V1.0.pdf</t>
        </is>
      </c>
      <c r="R35" s="16" t="n">
        <v>1</v>
      </c>
      <c r="S35" s="14" t="inlineStr">
        <is>
          <t>PDF Final Checked</t>
        </is>
      </c>
      <c r="T35" s="16" t="inlineStr">
        <is>
          <t>High</t>
        </is>
      </c>
      <c r="U35" s="16" t="inlineStr">
        <is>
          <t>Wave 6</t>
        </is>
      </c>
      <c r="V35" s="14" t="inlineStr">
        <is>
          <t>Annual</t>
        </is>
      </c>
      <c r="W35" s="17" t="n">
        <v>46478</v>
      </c>
      <c r="X35" s="15" t="inlineStr"/>
    </row>
  </sheetData>
  <autoFilter ref="A5:X35"/>
  <dataValidations count="1">
    <dataValidation sqref="S6:S35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COMMON SD GROUP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CM-CMN-01</t>
        </is>
      </c>
      <c r="B6" s="20" t="inlineStr">
        <is>
          <t>SD Group Common Employee Handbook</t>
        </is>
      </c>
      <c r="C6" s="19" t="inlineStr">
        <is>
          <t>Group Common</t>
        </is>
      </c>
      <c r="D6" s="19" t="inlineStr">
        <is>
          <t>All Departments</t>
        </is>
      </c>
      <c r="E6" s="19" t="inlineStr">
        <is>
          <t>Common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CM-CMN-02</t>
        </is>
      </c>
      <c r="B7" s="20" t="inlineStr">
        <is>
          <t>HR Policy Handbook</t>
        </is>
      </c>
      <c r="C7" s="19" t="inlineStr">
        <is>
          <t>Group Common</t>
        </is>
      </c>
      <c r="D7" s="19" t="inlineStr">
        <is>
          <t>HR</t>
        </is>
      </c>
      <c r="E7" s="19" t="inlineStr">
        <is>
          <t>Common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CM-CMN-03</t>
        </is>
      </c>
      <c r="B8" s="20" t="inlineStr">
        <is>
          <t>Attendance, Leave, Permission &amp; Working Hours Handbook</t>
        </is>
      </c>
      <c r="C8" s="19" t="inlineStr">
        <is>
          <t>Group Common</t>
        </is>
      </c>
      <c r="D8" s="19" t="inlineStr">
        <is>
          <t>HR</t>
        </is>
      </c>
      <c r="E8" s="19" t="inlineStr">
        <is>
          <t>Common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CM-CMN-04</t>
        </is>
      </c>
      <c r="B9" s="20" t="inlineStr">
        <is>
          <t>EHS Basics Handbook</t>
        </is>
      </c>
      <c r="C9" s="19" t="inlineStr">
        <is>
          <t>Group Common</t>
        </is>
      </c>
      <c r="D9" s="19" t="inlineStr">
        <is>
          <t>EHS</t>
        </is>
      </c>
      <c r="E9" s="19" t="inlineStr">
        <is>
          <t>Common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CM-CMN-05</t>
        </is>
      </c>
      <c r="B10" s="20" t="inlineStr">
        <is>
          <t>Information Security Handbook</t>
        </is>
      </c>
      <c r="C10" s="19" t="inlineStr">
        <is>
          <t>Group Common</t>
        </is>
      </c>
      <c r="D10" s="19" t="inlineStr">
        <is>
          <t>IT</t>
        </is>
      </c>
      <c r="E10" s="19" t="inlineStr">
        <is>
          <t>Common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CM-CMN-08</t>
        </is>
      </c>
      <c r="B11" s="20" t="inlineStr">
        <is>
          <t>Disciplinary Action, Notice Period &amp; Exit Process Handbook</t>
        </is>
      </c>
      <c r="C11" s="19" t="inlineStr">
        <is>
          <t>Group Common</t>
        </is>
      </c>
      <c r="D11" s="19" t="inlineStr">
        <is>
          <t>HR</t>
        </is>
      </c>
      <c r="E11" s="19" t="inlineStr">
        <is>
          <t>Common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CM-CMN-09</t>
        </is>
      </c>
      <c r="B12" s="20" t="inlineStr">
        <is>
          <t>Internal Communication, Email, WhatsApp &amp; Meeting Discipline Handbook</t>
        </is>
      </c>
      <c r="C12" s="19" t="inlineStr">
        <is>
          <t>Group Common</t>
        </is>
      </c>
      <c r="D12" s="19" t="inlineStr">
        <is>
          <t>All Departments</t>
        </is>
      </c>
      <c r="E12" s="19" t="inlineStr">
        <is>
          <t>Common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CM-CMN-13</t>
        </is>
      </c>
      <c r="B13" s="20" t="inlineStr">
        <is>
          <t>Employee Acknowledgement and Policy Acceptance Handbook</t>
        </is>
      </c>
      <c r="C13" s="19" t="inlineStr">
        <is>
          <t>Group Common</t>
        </is>
      </c>
      <c r="D13" s="19" t="inlineStr">
        <is>
          <t>HR</t>
        </is>
      </c>
      <c r="E13" s="19" t="inlineStr">
        <is>
          <t>Common Handbook</t>
        </is>
      </c>
      <c r="F13" s="19" t="inlineStr">
        <is>
          <t>L1-L5</t>
        </is>
      </c>
      <c r="G13" s="21" t="inlineStr">
        <is>
          <t>L1</t>
        </is>
      </c>
      <c r="H13" s="22" t="inlineStr">
        <is>
          <t>Yes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CM-CMN-14</t>
        </is>
      </c>
      <c r="B14" s="20" t="inlineStr">
        <is>
          <t>SD Academy Learning Access and Completion Handbook</t>
        </is>
      </c>
      <c r="C14" s="19" t="inlineStr">
        <is>
          <t>Group Common</t>
        </is>
      </c>
      <c r="D14" s="19" t="inlineStr">
        <is>
          <t>SD Academy</t>
        </is>
      </c>
      <c r="E14" s="19" t="inlineStr">
        <is>
          <t>Common Handbook</t>
        </is>
      </c>
      <c r="F14" s="19" t="inlineStr">
        <is>
          <t>L1-L5</t>
        </is>
      </c>
      <c r="G14" s="21" t="inlineStr">
        <is>
          <t>L1</t>
        </is>
      </c>
      <c r="H14" s="22" t="inlineStr">
        <is>
          <t>Yes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CM-CMP-01</t>
        </is>
      </c>
      <c r="B15" s="20" t="inlineStr">
        <is>
          <t>Code of Conduct, Ethics &amp; Business Integrity Handbook</t>
        </is>
      </c>
      <c r="C15" s="19" t="inlineStr">
        <is>
          <t>Group Common</t>
        </is>
      </c>
      <c r="D15" s="19" t="inlineStr">
        <is>
          <t>All Departments</t>
        </is>
      </c>
      <c r="E15" s="19" t="inlineStr">
        <is>
          <t>Compliance Handbook</t>
        </is>
      </c>
      <c r="F15" s="19" t="inlineStr">
        <is>
          <t>L1-L5</t>
        </is>
      </c>
      <c r="G15" s="21" t="inlineStr">
        <is>
          <t>L1</t>
        </is>
      </c>
      <c r="H15" s="22" t="inlineStr">
        <is>
          <t>Yes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CM-CMP-02</t>
        </is>
      </c>
      <c r="B16" s="20" t="inlineStr">
        <is>
          <t>POSH Handbook</t>
        </is>
      </c>
      <c r="C16" s="19" t="inlineStr">
        <is>
          <t>Group Common</t>
        </is>
      </c>
      <c r="D16" s="19" t="inlineStr">
        <is>
          <t>HR</t>
        </is>
      </c>
      <c r="E16" s="19" t="inlineStr">
        <is>
          <t>Compliance Handbook</t>
        </is>
      </c>
      <c r="F16" s="19" t="inlineStr">
        <is>
          <t>L1-L5</t>
        </is>
      </c>
      <c r="G16" s="21" t="inlineStr">
        <is>
          <t>L1</t>
        </is>
      </c>
      <c r="H16" s="22" t="inlineStr">
        <is>
          <t>Yes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CM-LDR-01</t>
        </is>
      </c>
      <c r="B17" s="20" t="inlineStr">
        <is>
          <t>SD Group Leadership Principles Handbook</t>
        </is>
      </c>
      <c r="C17" s="19" t="inlineStr">
        <is>
          <t>Leadership &amp; Management</t>
        </is>
      </c>
      <c r="D17" s="19" t="inlineStr">
        <is>
          <t>Leadership</t>
        </is>
      </c>
      <c r="E17" s="19" t="inlineStr">
        <is>
          <t>Leadership Handbook</t>
        </is>
      </c>
      <c r="F17" s="19" t="inlineStr">
        <is>
          <t>L1-L5</t>
        </is>
      </c>
      <c r="G17" s="21" t="inlineStr">
        <is>
          <t>L1</t>
        </is>
      </c>
      <c r="H17" s="22" t="inlineStr">
        <is>
          <t>Yes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CM-CMN-06</t>
        </is>
      </c>
      <c r="B18" s="20" t="inlineStr">
        <is>
          <t>IT Asset, Device, Email &amp; Software Usage Handbook</t>
        </is>
      </c>
      <c r="C18" s="19" t="inlineStr">
        <is>
          <t>Group Common</t>
        </is>
      </c>
      <c r="D18" s="19" t="inlineStr">
        <is>
          <t>IT</t>
        </is>
      </c>
      <c r="E18" s="19" t="inlineStr">
        <is>
          <t>Common Handbook</t>
        </is>
      </c>
      <c r="F18" s="19" t="inlineStr">
        <is>
          <t>L2-L5</t>
        </is>
      </c>
      <c r="G18" s="21" t="inlineStr">
        <is>
          <t>L2</t>
        </is>
      </c>
      <c r="H18" s="23" t="inlineStr">
        <is>
          <t>-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CM-CMN-07</t>
        </is>
      </c>
      <c r="B19" s="20" t="inlineStr">
        <is>
          <t>Travel, Expense, Advance &amp; Reimbursement Handbook</t>
        </is>
      </c>
      <c r="C19" s="19" t="inlineStr">
        <is>
          <t>Group Common</t>
        </is>
      </c>
      <c r="D19" s="19" t="inlineStr">
        <is>
          <t>Finance</t>
        </is>
      </c>
      <c r="E19" s="19" t="inlineStr">
        <is>
          <t>Common Handbook</t>
        </is>
      </c>
      <c r="F19" s="19" t="inlineStr">
        <is>
          <t>L2-L5</t>
        </is>
      </c>
      <c r="G19" s="21" t="inlineStr">
        <is>
          <t>L2</t>
        </is>
      </c>
      <c r="H19" s="23" t="inlineStr">
        <is>
          <t>-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CM-CMN-10</t>
        </is>
      </c>
      <c r="B20" s="20" t="inlineStr">
        <is>
          <t>Document Control, Records Management &amp; Version Governance Handbook</t>
        </is>
      </c>
      <c r="C20" s="19" t="inlineStr">
        <is>
          <t>Group Common</t>
        </is>
      </c>
      <c r="D20" s="19" t="inlineStr">
        <is>
          <t>Quality</t>
        </is>
      </c>
      <c r="E20" s="19" t="inlineStr">
        <is>
          <t>Common Handbook</t>
        </is>
      </c>
      <c r="F20" s="19" t="inlineStr">
        <is>
          <t>L2-L5</t>
        </is>
      </c>
      <c r="G20" s="21" t="inlineStr">
        <is>
          <t>L2</t>
        </is>
      </c>
      <c r="H20" s="23" t="inlineStr">
        <is>
          <t>-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CM-CMN-11</t>
        </is>
      </c>
      <c r="B21" s="20" t="inlineStr">
        <is>
          <t>IMS Handbook (ISO 9001/14001/45001)</t>
        </is>
      </c>
      <c r="C21" s="19" t="inlineStr">
        <is>
          <t>Group Common</t>
        </is>
      </c>
      <c r="D21" s="19" t="inlineStr">
        <is>
          <t>Quality</t>
        </is>
      </c>
      <c r="E21" s="19" t="inlineStr">
        <is>
          <t>Common Handbook</t>
        </is>
      </c>
      <c r="F21" s="19" t="inlineStr">
        <is>
          <t>L2-L5</t>
        </is>
      </c>
      <c r="G21" s="21" t="inlineStr">
        <is>
          <t>L2</t>
        </is>
      </c>
      <c r="H21" s="23" t="inlineStr">
        <is>
          <t>-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CM-CMP-03</t>
        </is>
      </c>
      <c r="B22" s="20" t="inlineStr">
        <is>
          <t>Data Privacy, Consent &amp; DPDP Compliance Handbook</t>
        </is>
      </c>
      <c r="C22" s="19" t="inlineStr">
        <is>
          <t>Group Common</t>
        </is>
      </c>
      <c r="D22" s="19" t="inlineStr">
        <is>
          <t>All Departments</t>
        </is>
      </c>
      <c r="E22" s="19" t="inlineStr">
        <is>
          <t>Compliance Handbook</t>
        </is>
      </c>
      <c r="F22" s="19" t="inlineStr">
        <is>
          <t>L2-L5</t>
        </is>
      </c>
      <c r="G22" s="21" t="inlineStr">
        <is>
          <t>L2</t>
        </is>
      </c>
      <c r="H22" s="23" t="inlineStr">
        <is>
          <t>-</t>
        </is>
      </c>
      <c r="I22" s="22" t="inlineStr">
        <is>
          <t>Yes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CM-CMP-04</t>
        </is>
      </c>
      <c r="B23" s="20" t="inlineStr">
        <is>
          <t>Vendor, Supplier &amp; Contractor Code of Conduct Handbook</t>
        </is>
      </c>
      <c r="C23" s="19" t="inlineStr">
        <is>
          <t>Group Common</t>
        </is>
      </c>
      <c r="D23" s="19" t="inlineStr">
        <is>
          <t>Procurement</t>
        </is>
      </c>
      <c r="E23" s="19" t="inlineStr">
        <is>
          <t>Compliance Handbook</t>
        </is>
      </c>
      <c r="F23" s="19" t="inlineStr">
        <is>
          <t>L2-L5</t>
        </is>
      </c>
      <c r="G23" s="21" t="inlineStr">
        <is>
          <t>L2</t>
        </is>
      </c>
      <c r="H23" s="23" t="inlineStr">
        <is>
          <t>-</t>
        </is>
      </c>
      <c r="I23" s="22" t="inlineStr">
        <is>
          <t>Yes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CM-MGT-03</t>
        </is>
      </c>
      <c r="B24" s="20" t="inlineStr">
        <is>
          <t>Team Leader Handbook</t>
        </is>
      </c>
      <c r="C24" s="19" t="inlineStr">
        <is>
          <t>Leadership &amp; Management</t>
        </is>
      </c>
      <c r="D24" s="19" t="inlineStr">
        <is>
          <t>Management</t>
        </is>
      </c>
      <c r="E24" s="19" t="inlineStr">
        <is>
          <t>Management Handbook</t>
        </is>
      </c>
      <c r="F24" s="19" t="inlineStr">
        <is>
          <t>L3-L5</t>
        </is>
      </c>
      <c r="G24" s="21" t="inlineStr">
        <is>
          <t>L3</t>
        </is>
      </c>
      <c r="H24" s="23" t="inlineStr">
        <is>
          <t>-</t>
        </is>
      </c>
      <c r="I24" s="23" t="inlineStr">
        <is>
          <t>-</t>
        </is>
      </c>
      <c r="J24" s="22" t="inlineStr">
        <is>
          <t>Yes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CM-CMN-12</t>
        </is>
      </c>
      <c r="B25" s="20" t="inlineStr">
        <is>
          <t>Performance Improvement Plan &amp; Corrective Action Handbook</t>
        </is>
      </c>
      <c r="C25" s="19" t="inlineStr">
        <is>
          <t>Group Common</t>
        </is>
      </c>
      <c r="D25" s="19" t="inlineStr">
        <is>
          <t>HR</t>
        </is>
      </c>
      <c r="E25" s="19" t="inlineStr">
        <is>
          <t>Common Handbook</t>
        </is>
      </c>
      <c r="F25" s="19" t="inlineStr">
        <is>
          <t>L4-L5</t>
        </is>
      </c>
      <c r="G25" s="21" t="inlineStr">
        <is>
          <t>L4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-</t>
        </is>
      </c>
      <c r="K25" s="22" t="inlineStr">
        <is>
          <t>Yes</t>
        </is>
      </c>
      <c r="L25" s="22" t="inlineStr">
        <is>
          <t>Yes</t>
        </is>
      </c>
    </row>
    <row r="26">
      <c r="A26" s="19" t="inlineStr">
        <is>
          <t>CM-MGT-01</t>
        </is>
      </c>
      <c r="B26" s="20" t="inlineStr">
        <is>
          <t>SD Group Management Handbook</t>
        </is>
      </c>
      <c r="C26" s="19" t="inlineStr">
        <is>
          <t>Leadership &amp; Management</t>
        </is>
      </c>
      <c r="D26" s="19" t="inlineStr">
        <is>
          <t>Management</t>
        </is>
      </c>
      <c r="E26" s="19" t="inlineStr">
        <is>
          <t>Management Handbook</t>
        </is>
      </c>
      <c r="F26" s="19" t="inlineStr">
        <is>
          <t>L4-L5</t>
        </is>
      </c>
      <c r="G26" s="21" t="inlineStr">
        <is>
          <t>L4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2" t="inlineStr">
        <is>
          <t>Yes</t>
        </is>
      </c>
      <c r="L26" s="22" t="inlineStr">
        <is>
          <t>Yes</t>
        </is>
      </c>
    </row>
    <row r="27">
      <c r="A27" s="19" t="inlineStr">
        <is>
          <t>CM-MGT-02</t>
        </is>
      </c>
      <c r="B27" s="20" t="inlineStr">
        <is>
          <t>Department HOD Handbook</t>
        </is>
      </c>
      <c r="C27" s="19" t="inlineStr">
        <is>
          <t>Leadership &amp; Management</t>
        </is>
      </c>
      <c r="D27" s="19" t="inlineStr">
        <is>
          <t>Management</t>
        </is>
      </c>
      <c r="E27" s="19" t="inlineStr">
        <is>
          <t>Management Handbook</t>
        </is>
      </c>
      <c r="F27" s="19" t="inlineStr">
        <is>
          <t>L4-L5</t>
        </is>
      </c>
      <c r="G27" s="21" t="inlineStr">
        <is>
          <t>L4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2" t="inlineStr">
        <is>
          <t>Yes</t>
        </is>
      </c>
      <c r="L27" s="22" t="inlineStr">
        <is>
          <t>Yes</t>
        </is>
      </c>
    </row>
    <row r="28">
      <c r="A28" s="19" t="inlineStr">
        <is>
          <t>CM-MGT-04</t>
        </is>
      </c>
      <c r="B28" s="20" t="inlineStr">
        <is>
          <t>Management Review &amp; MIS Dashboard Handbook</t>
        </is>
      </c>
      <c r="C28" s="19" t="inlineStr">
        <is>
          <t>Leadership &amp; Management</t>
        </is>
      </c>
      <c r="D28" s="19" t="inlineStr">
        <is>
          <t>Management</t>
        </is>
      </c>
      <c r="E28" s="19" t="inlineStr">
        <is>
          <t>Management Handbook</t>
        </is>
      </c>
      <c r="F28" s="19" t="inlineStr">
        <is>
          <t>L4-L5</t>
        </is>
      </c>
      <c r="G28" s="21" t="inlineStr">
        <is>
          <t>L4</t>
        </is>
      </c>
      <c r="H28" s="23" t="inlineStr">
        <is>
          <t>-</t>
        </is>
      </c>
      <c r="I28" s="23" t="inlineStr">
        <is>
          <t>-</t>
        </is>
      </c>
      <c r="J28" s="23" t="inlineStr">
        <is>
          <t>-</t>
        </is>
      </c>
      <c r="K28" s="22" t="inlineStr">
        <is>
          <t>Yes</t>
        </is>
      </c>
      <c r="L28" s="22" t="inlineStr">
        <is>
          <t>Yes</t>
        </is>
      </c>
    </row>
    <row r="29">
      <c r="A29" s="19" t="inlineStr">
        <is>
          <t>CM-MGT-05</t>
        </is>
      </c>
      <c r="B29" s="20" t="inlineStr">
        <is>
          <t>Performance Review &amp; Appraisal Handbook</t>
        </is>
      </c>
      <c r="C29" s="19" t="inlineStr">
        <is>
          <t>Leadership &amp; Management</t>
        </is>
      </c>
      <c r="D29" s="19" t="inlineStr">
        <is>
          <t>Management</t>
        </is>
      </c>
      <c r="E29" s="19" t="inlineStr">
        <is>
          <t>Management Handbook</t>
        </is>
      </c>
      <c r="F29" s="19" t="inlineStr">
        <is>
          <t>L4-L5</t>
        </is>
      </c>
      <c r="G29" s="21" t="inlineStr">
        <is>
          <t>L4</t>
        </is>
      </c>
      <c r="H29" s="23" t="inlineStr">
        <is>
          <t>-</t>
        </is>
      </c>
      <c r="I29" s="23" t="inlineStr">
        <is>
          <t>-</t>
        </is>
      </c>
      <c r="J29" s="23" t="inlineStr">
        <is>
          <t>-</t>
        </is>
      </c>
      <c r="K29" s="22" t="inlineStr">
        <is>
          <t>Yes</t>
        </is>
      </c>
      <c r="L29" s="22" t="inlineStr">
        <is>
          <t>Yes</t>
        </is>
      </c>
    </row>
    <row r="30">
      <c r="A30" s="19" t="inlineStr">
        <is>
          <t>CM-MGT-06</t>
        </is>
      </c>
      <c r="B30" s="20" t="inlineStr">
        <is>
          <t>Delegation of Authority &amp; Approval Matrix Handbook</t>
        </is>
      </c>
      <c r="C30" s="19" t="inlineStr">
        <is>
          <t>Leadership &amp; Management</t>
        </is>
      </c>
      <c r="D30" s="19" t="inlineStr">
        <is>
          <t>Management</t>
        </is>
      </c>
      <c r="E30" s="19" t="inlineStr">
        <is>
          <t>Management Handbook</t>
        </is>
      </c>
      <c r="F30" s="19" t="inlineStr">
        <is>
          <t>L4-L5</t>
        </is>
      </c>
      <c r="G30" s="21" t="inlineStr">
        <is>
          <t>L4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2" t="inlineStr">
        <is>
          <t>Yes</t>
        </is>
      </c>
      <c r="L30" s="22" t="inlineStr">
        <is>
          <t>Yes</t>
        </is>
      </c>
    </row>
    <row r="31">
      <c r="A31" s="19" t="inlineStr">
        <is>
          <t>CM-MGT-07</t>
        </is>
      </c>
      <c r="B31" s="20" t="inlineStr">
        <is>
          <t>Business Target Review Handbook</t>
        </is>
      </c>
      <c r="C31" s="19" t="inlineStr">
        <is>
          <t>Leadership &amp; Management</t>
        </is>
      </c>
      <c r="D31" s="19" t="inlineStr">
        <is>
          <t>Management</t>
        </is>
      </c>
      <c r="E31" s="19" t="inlineStr">
        <is>
          <t>Management Handbook</t>
        </is>
      </c>
      <c r="F31" s="19" t="inlineStr">
        <is>
          <t>L4-L5</t>
        </is>
      </c>
      <c r="G31" s="21" t="inlineStr">
        <is>
          <t>L4</t>
        </is>
      </c>
      <c r="H31" s="23" t="inlineStr">
        <is>
          <t>-</t>
        </is>
      </c>
      <c r="I31" s="23" t="inlineStr">
        <is>
          <t>-</t>
        </is>
      </c>
      <c r="J31" s="23" t="inlineStr">
        <is>
          <t>-</t>
        </is>
      </c>
      <c r="K31" s="22" t="inlineStr">
        <is>
          <t>Yes</t>
        </is>
      </c>
      <c r="L31" s="22" t="inlineStr">
        <is>
          <t>Yes</t>
        </is>
      </c>
    </row>
    <row r="32">
      <c r="A32" s="19" t="inlineStr">
        <is>
          <t>CM-MGT-08</t>
        </is>
      </c>
      <c r="B32" s="20" t="inlineStr">
        <is>
          <t>Risk and Corrective Action Handbook</t>
        </is>
      </c>
      <c r="C32" s="19" t="inlineStr">
        <is>
          <t>Leadership &amp; Management</t>
        </is>
      </c>
      <c r="D32" s="19" t="inlineStr">
        <is>
          <t>Management</t>
        </is>
      </c>
      <c r="E32" s="19" t="inlineStr">
        <is>
          <t>Management Handbook</t>
        </is>
      </c>
      <c r="F32" s="19" t="inlineStr">
        <is>
          <t>L4-L5</t>
        </is>
      </c>
      <c r="G32" s="21" t="inlineStr">
        <is>
          <t>L4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2" t="inlineStr">
        <is>
          <t>Yes</t>
        </is>
      </c>
      <c r="L32" s="22" t="inlineStr">
        <is>
          <t>Yes</t>
        </is>
      </c>
    </row>
    <row r="33">
      <c r="A33" s="19" t="inlineStr">
        <is>
          <t>CM-MGT-09</t>
        </is>
      </c>
      <c r="B33" s="20" t="inlineStr">
        <is>
          <t>Internal Audit and Compliance Review Handbook</t>
        </is>
      </c>
      <c r="C33" s="19" t="inlineStr">
        <is>
          <t>Leadership &amp; Management</t>
        </is>
      </c>
      <c r="D33" s="19" t="inlineStr">
        <is>
          <t>Management</t>
        </is>
      </c>
      <c r="E33" s="19" t="inlineStr">
        <is>
          <t>Management Handbook</t>
        </is>
      </c>
      <c r="F33" s="19" t="inlineStr">
        <is>
          <t>L4-L5</t>
        </is>
      </c>
      <c r="G33" s="21" t="inlineStr">
        <is>
          <t>L4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2" t="inlineStr">
        <is>
          <t>Yes</t>
        </is>
      </c>
      <c r="L33" s="22" t="inlineStr">
        <is>
          <t>Yes</t>
        </is>
      </c>
    </row>
    <row r="34">
      <c r="A34" s="19" t="inlineStr">
        <is>
          <t>CM-LDR-02</t>
        </is>
      </c>
      <c r="B34" s="20" t="inlineStr">
        <is>
          <t>SD Group Leadership Operating Handbook</t>
        </is>
      </c>
      <c r="C34" s="19" t="inlineStr">
        <is>
          <t>Leadership &amp; Management</t>
        </is>
      </c>
      <c r="D34" s="19" t="inlineStr">
        <is>
          <t>Leadership</t>
        </is>
      </c>
      <c r="E34" s="19" t="inlineStr">
        <is>
          <t>Leadership Handbook</t>
        </is>
      </c>
      <c r="F34" s="19" t="inlineStr">
        <is>
          <t>L5</t>
        </is>
      </c>
      <c r="G34" s="21" t="inlineStr">
        <is>
          <t>L5</t>
        </is>
      </c>
      <c r="H34" s="23" t="inlineStr">
        <is>
          <t>-</t>
        </is>
      </c>
      <c r="I34" s="23" t="inlineStr">
        <is>
          <t>-</t>
        </is>
      </c>
      <c r="J34" s="23" t="inlineStr">
        <is>
          <t>-</t>
        </is>
      </c>
      <c r="K34" s="23" t="inlineStr">
        <is>
          <t>-</t>
        </is>
      </c>
      <c r="L34" s="22" t="inlineStr">
        <is>
          <t>Yes</t>
        </is>
      </c>
    </row>
    <row r="35">
      <c r="A35" s="19" t="inlineStr">
        <is>
          <t>CM-LDR-03</t>
        </is>
      </c>
      <c r="B35" s="20" t="inlineStr">
        <is>
          <t>Strategic Planning and Review Handbook</t>
        </is>
      </c>
      <c r="C35" s="19" t="inlineStr">
        <is>
          <t>Leadership &amp; Management</t>
        </is>
      </c>
      <c r="D35" s="19" t="inlineStr">
        <is>
          <t>Leadership</t>
        </is>
      </c>
      <c r="E35" s="19" t="inlineStr">
        <is>
          <t>Leadership Handbook</t>
        </is>
      </c>
      <c r="F35" s="19" t="inlineStr">
        <is>
          <t>L5</t>
        </is>
      </c>
      <c r="G35" s="21" t="inlineStr">
        <is>
          <t>L5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-</t>
        </is>
      </c>
      <c r="K35" s="23" t="inlineStr">
        <is>
          <t>-</t>
        </is>
      </c>
      <c r="L35" s="22" t="inlineStr">
        <is>
          <t>Yes</t>
        </is>
      </c>
    </row>
  </sheetData>
  <autoFilter ref="A5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Common SD Group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12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18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19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28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COMMON SD GROUP - SD ACADEMY WEBSITE UPLOAD CHECKLIST (30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CM-CMN-01</t>
        </is>
      </c>
      <c r="C19" s="10" t="inlineStr">
        <is>
          <t>SDG_Common_Employee_Handbook_L1-L5_V1.0.pdf</t>
        </is>
      </c>
      <c r="D19" s="10" t="inlineStr">
        <is>
          <t>SD Academy/01_Common_SD_Group</t>
        </is>
      </c>
      <c r="E19" s="9" t="inlineStr">
        <is>
          <t>SDA-CRS-CM-CMN-01</t>
        </is>
      </c>
      <c r="F19" s="10" t="inlineStr">
        <is>
          <t>Common SD Group | Group Common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CM-CMN-02</t>
        </is>
      </c>
      <c r="C20" s="15" t="inlineStr">
        <is>
          <t>SDG_Common_HR_Policy_Handbook_L1-L5_V1.0.pdf</t>
        </is>
      </c>
      <c r="D20" s="15" t="inlineStr">
        <is>
          <t>SD Academy/01_Common_SD_Group</t>
        </is>
      </c>
      <c r="E20" s="14" t="inlineStr">
        <is>
          <t>SDA-CRS-CM-CMN-02</t>
        </is>
      </c>
      <c r="F20" s="15" t="inlineStr">
        <is>
          <t>Common SD Group | Group Common | L1-L5</t>
        </is>
      </c>
      <c r="G20" s="11" t="inlineStr">
        <is>
          <t>No</t>
        </is>
      </c>
      <c r="H20" s="11" t="inlineStr">
        <is>
          <t>Yes</t>
        </is>
      </c>
      <c r="I20" s="12" t="inlineStr">
        <is>
          <t>REQUIRED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CM-CMN-03</t>
        </is>
      </c>
      <c r="C21" s="10" t="inlineStr">
        <is>
          <t>SDG_Common_Attendance_Leave_Permission_Working_Hours_Handbook_L1-L5_V1.0.pdf</t>
        </is>
      </c>
      <c r="D21" s="10" t="inlineStr">
        <is>
          <t>SD Academy/01_Common_SD_Group</t>
        </is>
      </c>
      <c r="E21" s="9" t="inlineStr">
        <is>
          <t>SDA-CRS-CM-CMN-03</t>
        </is>
      </c>
      <c r="F21" s="10" t="inlineStr">
        <is>
          <t>Common SD Group | Group Common | L1-L5</t>
        </is>
      </c>
      <c r="G21" s="11" t="inlineStr">
        <is>
          <t>No</t>
        </is>
      </c>
      <c r="H21" s="11" t="inlineStr">
        <is>
          <t>Yes</t>
        </is>
      </c>
      <c r="I21" s="12" t="inlineStr">
        <is>
          <t>REQUIRED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CM-CMN-04</t>
        </is>
      </c>
      <c r="C22" s="15" t="inlineStr">
        <is>
          <t>SDG_Common_EHS_Basics_Handbook_L1-L5_V1.0.pdf</t>
        </is>
      </c>
      <c r="D22" s="15" t="inlineStr">
        <is>
          <t>SD Academy/01_Common_SD_Group</t>
        </is>
      </c>
      <c r="E22" s="14" t="inlineStr">
        <is>
          <t>SDA-CRS-CM-CMN-04</t>
        </is>
      </c>
      <c r="F22" s="15" t="inlineStr">
        <is>
          <t>Common SD Group | Group Common | L1-L5</t>
        </is>
      </c>
      <c r="G22" s="31" t="inlineStr">
        <is>
          <t>Yes</t>
        </is>
      </c>
      <c r="H22" s="11" t="inlineStr">
        <is>
          <t>Yes</t>
        </is>
      </c>
      <c r="I22" s="12" t="inlineStr">
        <is>
          <t>REQUIRED</t>
        </is>
      </c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CM-CMN-05</t>
        </is>
      </c>
      <c r="C23" s="10" t="inlineStr">
        <is>
          <t>SDG_Common_Information_Security_Handbook_L1-L5_V1.0.pdf</t>
        </is>
      </c>
      <c r="D23" s="10" t="inlineStr">
        <is>
          <t>SD Academy/01_Common_SD_Group</t>
        </is>
      </c>
      <c r="E23" s="9" t="inlineStr">
        <is>
          <t>SDA-CRS-CM-CMN-05</t>
        </is>
      </c>
      <c r="F23" s="10" t="inlineStr">
        <is>
          <t>Common SD Group | Group Common | L1-L5</t>
        </is>
      </c>
      <c r="G23" s="31" t="inlineStr">
        <is>
          <t>Yes</t>
        </is>
      </c>
      <c r="H23" s="11" t="inlineStr">
        <is>
          <t>Yes</t>
        </is>
      </c>
      <c r="I23" s="12" t="inlineStr">
        <is>
          <t>REQUIRED</t>
        </is>
      </c>
      <c r="J23" s="30" t="inlineStr"/>
      <c r="K23" s="30" t="inlineStr"/>
      <c r="L23" s="30" t="inlineStr"/>
      <c r="M23" s="30" t="inlineStr"/>
      <c r="N23" s="30" t="inlineStr"/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CM-CMN-06</t>
        </is>
      </c>
      <c r="C24" s="15" t="inlineStr">
        <is>
          <t>SDG_Common_IT_Asset_Device_Email_Software_Usage_Handbook_L2-L5_V1.0.pdf</t>
        </is>
      </c>
      <c r="D24" s="15" t="inlineStr">
        <is>
          <t>SD Academy/01_Common_SD_Group</t>
        </is>
      </c>
      <c r="E24" s="14" t="inlineStr">
        <is>
          <t>SDA-CRS-CM-CMN-06</t>
        </is>
      </c>
      <c r="F24" s="15" t="inlineStr">
        <is>
          <t>Common SD Group | Group Common | L2-L5</t>
        </is>
      </c>
      <c r="G24" s="11" t="inlineStr">
        <is>
          <t>No</t>
        </is>
      </c>
      <c r="H24" s="11" t="inlineStr">
        <is>
          <t>Yes</t>
        </is>
      </c>
      <c r="I24" s="12" t="inlineStr">
        <is>
          <t>REQUIRED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CM-CMN-07</t>
        </is>
      </c>
      <c r="C25" s="10" t="inlineStr">
        <is>
          <t>SDG_Common_Travel_Expense_Advance_Reimbursement_Handbook_L2-L5_V1.0.pdf</t>
        </is>
      </c>
      <c r="D25" s="10" t="inlineStr">
        <is>
          <t>SD Academy/01_Common_SD_Group</t>
        </is>
      </c>
      <c r="E25" s="9" t="inlineStr">
        <is>
          <t>SDA-CRS-CM-CMN-07</t>
        </is>
      </c>
      <c r="F25" s="10" t="inlineStr">
        <is>
          <t>Common SD Group | Group Common | L2-L5</t>
        </is>
      </c>
      <c r="G25" s="11" t="inlineStr">
        <is>
          <t>No</t>
        </is>
      </c>
      <c r="H25" s="11" t="inlineStr">
        <is>
          <t>Yes</t>
        </is>
      </c>
      <c r="I25" s="12" t="inlineStr">
        <is>
          <t>REQUIRED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CM-CMN-08</t>
        </is>
      </c>
      <c r="C26" s="15" t="inlineStr">
        <is>
          <t>SDG_Common_Disciplinary_Action_Notice_Period_Exit_Process_Handbook_L1-L5_V1.0.pdf</t>
        </is>
      </c>
      <c r="D26" s="15" t="inlineStr">
        <is>
          <t>SD Academy/01_Common_SD_Group</t>
        </is>
      </c>
      <c r="E26" s="14" t="inlineStr">
        <is>
          <t>SDA-CRS-CM-CMN-08</t>
        </is>
      </c>
      <c r="F26" s="15" t="inlineStr">
        <is>
          <t>Common SD Group | Group Common | L1-L5</t>
        </is>
      </c>
      <c r="G26" s="11" t="inlineStr">
        <is>
          <t>No</t>
        </is>
      </c>
      <c r="H26" s="11" t="inlineStr">
        <is>
          <t>Yes</t>
        </is>
      </c>
      <c r="I26" s="12" t="inlineStr">
        <is>
          <t>REQUIRED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CM-CMN-09</t>
        </is>
      </c>
      <c r="C27" s="10" t="inlineStr">
        <is>
          <t>SDG_Common_Internal_Communication_Email_WhatsApp_Meeting_Discipline_Handbook_L1-L5_V1.0.pdf</t>
        </is>
      </c>
      <c r="D27" s="10" t="inlineStr">
        <is>
          <t>SD Academy/01_Common_SD_Group</t>
        </is>
      </c>
      <c r="E27" s="9" t="inlineStr">
        <is>
          <t>SDA-CRS-CM-CMN-09</t>
        </is>
      </c>
      <c r="F27" s="10" t="inlineStr">
        <is>
          <t>Common SD Group | Group Common | L1-L5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CM-CMN-10</t>
        </is>
      </c>
      <c r="C28" s="15" t="inlineStr">
        <is>
          <t>SDG_Common_Document_Control_Records_Management_Version_Governance_Handbook_L2-L5_V1.0.pdf</t>
        </is>
      </c>
      <c r="D28" s="15" t="inlineStr">
        <is>
          <t>SD Academy/01_Common_SD_Group</t>
        </is>
      </c>
      <c r="E28" s="14" t="inlineStr">
        <is>
          <t>SDA-CRS-CM-CMN-10</t>
        </is>
      </c>
      <c r="F28" s="15" t="inlineStr">
        <is>
          <t>Common SD Group | Group Common | L2-L5</t>
        </is>
      </c>
      <c r="G28" s="11" t="inlineStr">
        <is>
          <t>No</t>
        </is>
      </c>
      <c r="H28" s="11" t="inlineStr">
        <is>
          <t>Yes</t>
        </is>
      </c>
      <c r="I28" s="11" t="inlineStr">
        <is>
          <t>n/a</t>
        </is>
      </c>
      <c r="J28" s="30" t="inlineStr"/>
      <c r="K28" s="30" t="inlineStr"/>
      <c r="L28" s="30" t="inlineStr"/>
      <c r="M28" s="30" t="inlineStr"/>
      <c r="N28" s="30" t="inlineStr">
        <is>
          <t>n/a</t>
        </is>
      </c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CM-CMN-11</t>
        </is>
      </c>
      <c r="C29" s="10" t="inlineStr">
        <is>
          <t>SDG_Common_IMS_Handbook_ISO_9001_14001_45001_L2-L5_V1.0.pdf</t>
        </is>
      </c>
      <c r="D29" s="10" t="inlineStr">
        <is>
          <t>SD Academy/01_Common_SD_Group</t>
        </is>
      </c>
      <c r="E29" s="9" t="inlineStr">
        <is>
          <t>SDA-CRS-CM-CMN-11</t>
        </is>
      </c>
      <c r="F29" s="10" t="inlineStr">
        <is>
          <t>Common SD Group | Group Common | L2-L5</t>
        </is>
      </c>
      <c r="G29" s="11" t="inlineStr">
        <is>
          <t>No</t>
        </is>
      </c>
      <c r="H29" s="11" t="inlineStr">
        <is>
          <t>Yes</t>
        </is>
      </c>
      <c r="I29" s="11" t="inlineStr">
        <is>
          <t>n/a</t>
        </is>
      </c>
      <c r="J29" s="30" t="inlineStr"/>
      <c r="K29" s="30" t="inlineStr"/>
      <c r="L29" s="30" t="inlineStr"/>
      <c r="M29" s="30" t="inlineStr"/>
      <c r="N29" s="30" t="inlineStr">
        <is>
          <t>n/a</t>
        </is>
      </c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CM-CMN-13</t>
        </is>
      </c>
      <c r="C30" s="15" t="inlineStr">
        <is>
          <t>SDG_Common_Employee_Acknowledgement_and_Policy_Acceptance_Handbook_L1-L5_V1.0.pdf</t>
        </is>
      </c>
      <c r="D30" s="15" t="inlineStr">
        <is>
          <t>SD Academy/01_Common_SD_Group</t>
        </is>
      </c>
      <c r="E30" s="14" t="inlineStr">
        <is>
          <t>SDA-CRS-CM-CMN-13</t>
        </is>
      </c>
      <c r="F30" s="15" t="inlineStr">
        <is>
          <t>Common SD Group | Group Common | L1-L5</t>
        </is>
      </c>
      <c r="G30" s="11" t="inlineStr">
        <is>
          <t>No</t>
        </is>
      </c>
      <c r="H30" s="11" t="inlineStr">
        <is>
          <t>Yes</t>
        </is>
      </c>
      <c r="I30" s="12" t="inlineStr">
        <is>
          <t>REQUIRED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CM-CMN-14</t>
        </is>
      </c>
      <c r="C31" s="10" t="inlineStr">
        <is>
          <t>SDG_Common_Learning_Access_and_Completion_Handbook_L1-L5_V1.0.pdf</t>
        </is>
      </c>
      <c r="D31" s="10" t="inlineStr">
        <is>
          <t>SD Academy/01_Common_SD_Group</t>
        </is>
      </c>
      <c r="E31" s="9" t="inlineStr">
        <is>
          <t>SDA-CRS-CM-CMN-14</t>
        </is>
      </c>
      <c r="F31" s="10" t="inlineStr">
        <is>
          <t>Common SD Group | Group Common | L1-L5</t>
        </is>
      </c>
      <c r="G31" s="11" t="inlineStr">
        <is>
          <t>No</t>
        </is>
      </c>
      <c r="H31" s="11" t="inlineStr">
        <is>
          <t>Yes</t>
        </is>
      </c>
      <c r="I31" s="11" t="inlineStr">
        <is>
          <t>n/a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CM-CMP-01</t>
        </is>
      </c>
      <c r="C32" s="15" t="inlineStr">
        <is>
          <t>SDG_Common_Code_of_Conduct_Ethics_Business_Integrity_Handbook_L1-L5_V1.0.pdf</t>
        </is>
      </c>
      <c r="D32" s="15" t="inlineStr">
        <is>
          <t>SD Academy/01_Common_SD_Group</t>
        </is>
      </c>
      <c r="E32" s="14" t="inlineStr">
        <is>
          <t>SDA-CRS-CM-CMP-01</t>
        </is>
      </c>
      <c r="F32" s="15" t="inlineStr">
        <is>
          <t>Common SD Group | Group Common | L1-L5</t>
        </is>
      </c>
      <c r="G32" s="31" t="inlineStr">
        <is>
          <t>Yes</t>
        </is>
      </c>
      <c r="H32" s="11" t="inlineStr">
        <is>
          <t>Yes</t>
        </is>
      </c>
      <c r="I32" s="12" t="inlineStr">
        <is>
          <t>REQUIRED</t>
        </is>
      </c>
      <c r="J32" s="30" t="inlineStr"/>
      <c r="K32" s="30" t="inlineStr"/>
      <c r="L32" s="30" t="inlineStr"/>
      <c r="M32" s="30" t="inlineStr"/>
      <c r="N32" s="30" t="inlineStr"/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CM-CMP-02</t>
        </is>
      </c>
      <c r="C33" s="10" t="inlineStr">
        <is>
          <t>SDG_Common_POSH_Handbook_L1-L5_V1.0.pdf</t>
        </is>
      </c>
      <c r="D33" s="10" t="inlineStr">
        <is>
          <t>SD Academy/01_Common_SD_Group</t>
        </is>
      </c>
      <c r="E33" s="9" t="inlineStr">
        <is>
          <t>SDA-CRS-CM-CMP-02</t>
        </is>
      </c>
      <c r="F33" s="10" t="inlineStr">
        <is>
          <t>Common SD Group | Group Common | L1-L5</t>
        </is>
      </c>
      <c r="G33" s="31" t="inlineStr">
        <is>
          <t>Yes</t>
        </is>
      </c>
      <c r="H33" s="11" t="inlineStr">
        <is>
          <t>Yes</t>
        </is>
      </c>
      <c r="I33" s="12" t="inlineStr">
        <is>
          <t>REQUIRED</t>
        </is>
      </c>
      <c r="J33" s="30" t="inlineStr"/>
      <c r="K33" s="30" t="inlineStr"/>
      <c r="L33" s="30" t="inlineStr"/>
      <c r="M33" s="30" t="inlineStr"/>
      <c r="N33" s="30" t="inlineStr"/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CM-CMP-03</t>
        </is>
      </c>
      <c r="C34" s="15" t="inlineStr">
        <is>
          <t>SDG_Common_Data_Privacy_Consent_DPDP_Compliance_Handbook_L2-L5_V1.0.pdf</t>
        </is>
      </c>
      <c r="D34" s="15" t="inlineStr">
        <is>
          <t>SD Academy/01_Common_SD_Group</t>
        </is>
      </c>
      <c r="E34" s="14" t="inlineStr">
        <is>
          <t>SDA-CRS-CM-CMP-03</t>
        </is>
      </c>
      <c r="F34" s="15" t="inlineStr">
        <is>
          <t>Common SD Group | Group Common | L2-L5</t>
        </is>
      </c>
      <c r="G34" s="31" t="inlineStr">
        <is>
          <t>Yes</t>
        </is>
      </c>
      <c r="H34" s="11" t="inlineStr">
        <is>
          <t>Yes</t>
        </is>
      </c>
      <c r="I34" s="12" t="inlineStr">
        <is>
          <t>REQUIRED</t>
        </is>
      </c>
      <c r="J34" s="30" t="inlineStr"/>
      <c r="K34" s="30" t="inlineStr"/>
      <c r="L34" s="30" t="inlineStr"/>
      <c r="M34" s="30" t="inlineStr"/>
      <c r="N34" s="30" t="inlineStr"/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CM-CMP-04</t>
        </is>
      </c>
      <c r="C35" s="10" t="inlineStr">
        <is>
          <t>SDG_Common_Vendor_Supplier_Contractor_Code_of_Conduct_Handbook_L2-L5_V1.0.pdf</t>
        </is>
      </c>
      <c r="D35" s="10" t="inlineStr">
        <is>
          <t>SD Academy/01_Common_SD_Group</t>
        </is>
      </c>
      <c r="E35" s="9" t="inlineStr">
        <is>
          <t>SDA-CRS-CM-CMP-04</t>
        </is>
      </c>
      <c r="F35" s="10" t="inlineStr">
        <is>
          <t>Common SD Group | Group Common | L2-L5</t>
        </is>
      </c>
      <c r="G35" s="31" t="inlineStr">
        <is>
          <t>Yes</t>
        </is>
      </c>
      <c r="H35" s="11" t="inlineStr">
        <is>
          <t>Yes</t>
        </is>
      </c>
      <c r="I35" s="12" t="inlineStr">
        <is>
          <t>REQUIRED</t>
        </is>
      </c>
      <c r="J35" s="30" t="inlineStr"/>
      <c r="K35" s="30" t="inlineStr"/>
      <c r="L35" s="30" t="inlineStr"/>
      <c r="M35" s="30" t="inlineStr"/>
      <c r="N35" s="30" t="inlineStr"/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CM-CMN-12</t>
        </is>
      </c>
      <c r="C36" s="15" t="inlineStr">
        <is>
          <t>SDG_Common_Performance_Improvement_Plan_Corrective_Action_Handbook_L4-L5_V1.0.pdf</t>
        </is>
      </c>
      <c r="D36" s="15" t="inlineStr">
        <is>
          <t>SD Academy/01_Common_SD_Group</t>
        </is>
      </c>
      <c r="E36" s="14" t="inlineStr">
        <is>
          <t>SDA-CRS-CM-CMN-12</t>
        </is>
      </c>
      <c r="F36" s="15" t="inlineStr">
        <is>
          <t>Common SD Group | Group Common | L4-L5</t>
        </is>
      </c>
      <c r="G36" s="11" t="inlineStr">
        <is>
          <t>No</t>
        </is>
      </c>
      <c r="H36" s="11" t="inlineStr">
        <is>
          <t>Yes</t>
        </is>
      </c>
      <c r="I36" s="12" t="inlineStr">
        <is>
          <t>REQUIRED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CM-LDR-01</t>
        </is>
      </c>
      <c r="C37" s="10" t="inlineStr">
        <is>
          <t>SDG_SDGroup_Leadership_Principles_Handbook_L1-L5_V1.0.pdf</t>
        </is>
      </c>
      <c r="D37" s="10" t="inlineStr">
        <is>
          <t>SD Academy/09_Leadership_Management</t>
        </is>
      </c>
      <c r="E37" s="9" t="inlineStr">
        <is>
          <t>SDA-CRS-CM-LDR-01</t>
        </is>
      </c>
      <c r="F37" s="10" t="inlineStr">
        <is>
          <t>Common SD Group | Leadership &amp; Management | L1-L5</t>
        </is>
      </c>
      <c r="G37" s="11" t="inlineStr">
        <is>
          <t>No</t>
        </is>
      </c>
      <c r="H37" s="11" t="inlineStr">
        <is>
          <t>Yes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CM-LDR-02</t>
        </is>
      </c>
      <c r="C38" s="15" t="inlineStr">
        <is>
          <t>SDG_SDGroup_Leadership_Operating_Handbook_L5_V1.0.pdf</t>
        </is>
      </c>
      <c r="D38" s="15" t="inlineStr">
        <is>
          <t>SD Academy/09_Leadership_Management</t>
        </is>
      </c>
      <c r="E38" s="14" t="inlineStr">
        <is>
          <t>SDA-CRS-CM-LDR-02</t>
        </is>
      </c>
      <c r="F38" s="15" t="inlineStr">
        <is>
          <t>Common SD Group | Leadership &amp; Management | L5</t>
        </is>
      </c>
      <c r="G38" s="11" t="inlineStr">
        <is>
          <t>No</t>
        </is>
      </c>
      <c r="H38" s="11" t="inlineStr">
        <is>
          <t>Yes</t>
        </is>
      </c>
      <c r="I38" s="12" t="inlineStr">
        <is>
          <t>REQUIRED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39">
      <c r="A39" s="11" t="n">
        <v>21</v>
      </c>
      <c r="B39" s="9" t="inlineStr">
        <is>
          <t>CM-LDR-03</t>
        </is>
      </c>
      <c r="C39" s="10" t="inlineStr">
        <is>
          <t>SDG_SDGroup_Strategic_Planning_and_Review_Handbook_L5_V1.0.pdf</t>
        </is>
      </c>
      <c r="D39" s="10" t="inlineStr">
        <is>
          <t>SD Academy/09_Leadership_Management</t>
        </is>
      </c>
      <c r="E39" s="9" t="inlineStr">
        <is>
          <t>SDA-CRS-CM-LDR-03</t>
        </is>
      </c>
      <c r="F39" s="10" t="inlineStr">
        <is>
          <t>Common SD Group | Leadership &amp; Management | L5</t>
        </is>
      </c>
      <c r="G39" s="11" t="inlineStr">
        <is>
          <t>No</t>
        </is>
      </c>
      <c r="H39" s="11" t="inlineStr">
        <is>
          <t>Yes</t>
        </is>
      </c>
      <c r="I39" s="11" t="inlineStr">
        <is>
          <t>n/a</t>
        </is>
      </c>
      <c r="J39" s="30" t="inlineStr"/>
      <c r="K39" s="30" t="inlineStr"/>
      <c r="L39" s="30" t="inlineStr"/>
      <c r="M39" s="30" t="inlineStr"/>
      <c r="N39" s="30" t="inlineStr">
        <is>
          <t>n/a</t>
        </is>
      </c>
      <c r="O39" s="30" t="inlineStr"/>
      <c r="P39" s="30" t="inlineStr"/>
      <c r="Q39" s="9" t="inlineStr"/>
      <c r="R39" s="9" t="inlineStr"/>
      <c r="S39" s="10" t="inlineStr"/>
    </row>
    <row r="40">
      <c r="A40" s="16" t="n">
        <v>22</v>
      </c>
      <c r="B40" s="14" t="inlineStr">
        <is>
          <t>CM-MGT-01</t>
        </is>
      </c>
      <c r="C40" s="15" t="inlineStr">
        <is>
          <t>SDG_SDGroup_Management_Handbook_L4-L5_V1.0.pdf</t>
        </is>
      </c>
      <c r="D40" s="15" t="inlineStr">
        <is>
          <t>SD Academy/09_Leadership_Management</t>
        </is>
      </c>
      <c r="E40" s="14" t="inlineStr">
        <is>
          <t>SDA-CRS-CM-MGT-01</t>
        </is>
      </c>
      <c r="F40" s="15" t="inlineStr">
        <is>
          <t>Common SD Group | Leadership &amp; Management | L4-L5</t>
        </is>
      </c>
      <c r="G40" s="11" t="inlineStr">
        <is>
          <t>No</t>
        </is>
      </c>
      <c r="H40" s="11" t="inlineStr">
        <is>
          <t>Yes</t>
        </is>
      </c>
      <c r="I40" s="11" t="inlineStr">
        <is>
          <t>n/a</t>
        </is>
      </c>
      <c r="J40" s="30" t="inlineStr"/>
      <c r="K40" s="30" t="inlineStr"/>
      <c r="L40" s="30" t="inlineStr"/>
      <c r="M40" s="30" t="inlineStr"/>
      <c r="N40" s="30" t="inlineStr">
        <is>
          <t>n/a</t>
        </is>
      </c>
      <c r="O40" s="30" t="inlineStr"/>
      <c r="P40" s="30" t="inlineStr"/>
      <c r="Q40" s="9" t="inlineStr"/>
      <c r="R40" s="9" t="inlineStr"/>
      <c r="S40" s="10" t="inlineStr"/>
    </row>
    <row r="41">
      <c r="A41" s="11" t="n">
        <v>23</v>
      </c>
      <c r="B41" s="9" t="inlineStr">
        <is>
          <t>CM-MGT-02</t>
        </is>
      </c>
      <c r="C41" s="10" t="inlineStr">
        <is>
          <t>SDG_SDGroup_Department_HOD_Handbook_L4-L5_V1.0.pdf</t>
        </is>
      </c>
      <c r="D41" s="10" t="inlineStr">
        <is>
          <t>SD Academy/09_Leadership_Management</t>
        </is>
      </c>
      <c r="E41" s="9" t="inlineStr">
        <is>
          <t>SDA-CRS-CM-MGT-02</t>
        </is>
      </c>
      <c r="F41" s="10" t="inlineStr">
        <is>
          <t>Common SD Group | Leadership &amp; Management | L4-L5</t>
        </is>
      </c>
      <c r="G41" s="11" t="inlineStr">
        <is>
          <t>No</t>
        </is>
      </c>
      <c r="H41" s="11" t="inlineStr">
        <is>
          <t>Yes</t>
        </is>
      </c>
      <c r="I41" s="11" t="inlineStr">
        <is>
          <t>n/a</t>
        </is>
      </c>
      <c r="J41" s="30" t="inlineStr"/>
      <c r="K41" s="30" t="inlineStr"/>
      <c r="L41" s="30" t="inlineStr"/>
      <c r="M41" s="30" t="inlineStr"/>
      <c r="N41" s="30" t="inlineStr">
        <is>
          <t>n/a</t>
        </is>
      </c>
      <c r="O41" s="30" t="inlineStr"/>
      <c r="P41" s="30" t="inlineStr"/>
      <c r="Q41" s="9" t="inlineStr"/>
      <c r="R41" s="9" t="inlineStr"/>
      <c r="S41" s="10" t="inlineStr"/>
    </row>
    <row r="42">
      <c r="A42" s="16" t="n">
        <v>24</v>
      </c>
      <c r="B42" s="14" t="inlineStr">
        <is>
          <t>CM-MGT-03</t>
        </is>
      </c>
      <c r="C42" s="15" t="inlineStr">
        <is>
          <t>SDG_SDGroup_Team_Leader_Handbook_L3-L5_V1.0.pdf</t>
        </is>
      </c>
      <c r="D42" s="15" t="inlineStr">
        <is>
          <t>SD Academy/09_Leadership_Management</t>
        </is>
      </c>
      <c r="E42" s="14" t="inlineStr">
        <is>
          <t>SDA-CRS-CM-MGT-03</t>
        </is>
      </c>
      <c r="F42" s="15" t="inlineStr">
        <is>
          <t>Common SD Group | Leadership &amp; Management | L3-L5</t>
        </is>
      </c>
      <c r="G42" s="11" t="inlineStr">
        <is>
          <t>No</t>
        </is>
      </c>
      <c r="H42" s="11" t="inlineStr">
        <is>
          <t>Yes</t>
        </is>
      </c>
      <c r="I42" s="11" t="inlineStr">
        <is>
          <t>n/a</t>
        </is>
      </c>
      <c r="J42" s="30" t="inlineStr"/>
      <c r="K42" s="30" t="inlineStr"/>
      <c r="L42" s="30" t="inlineStr"/>
      <c r="M42" s="30" t="inlineStr"/>
      <c r="N42" s="30" t="inlineStr">
        <is>
          <t>n/a</t>
        </is>
      </c>
      <c r="O42" s="30" t="inlineStr"/>
      <c r="P42" s="30" t="inlineStr"/>
      <c r="Q42" s="9" t="inlineStr"/>
      <c r="R42" s="9" t="inlineStr"/>
      <c r="S42" s="10" t="inlineStr"/>
    </row>
    <row r="43">
      <c r="A43" s="11" t="n">
        <v>25</v>
      </c>
      <c r="B43" s="9" t="inlineStr">
        <is>
          <t>CM-MGT-04</t>
        </is>
      </c>
      <c r="C43" s="10" t="inlineStr">
        <is>
          <t>SDG_SDGroup_Management_Review_MIS_Dashboard_Handbook_L4-L5_V1.0.pdf</t>
        </is>
      </c>
      <c r="D43" s="10" t="inlineStr">
        <is>
          <t>SD Academy/09_Leadership_Management</t>
        </is>
      </c>
      <c r="E43" s="9" t="inlineStr">
        <is>
          <t>SDA-CRS-CM-MGT-04</t>
        </is>
      </c>
      <c r="F43" s="10" t="inlineStr">
        <is>
          <t>Common SD Group | Leadership &amp; Management | L4-L5</t>
        </is>
      </c>
      <c r="G43" s="11" t="inlineStr">
        <is>
          <t>No</t>
        </is>
      </c>
      <c r="H43" s="11" t="inlineStr">
        <is>
          <t>Yes</t>
        </is>
      </c>
      <c r="I43" s="11" t="inlineStr">
        <is>
          <t>n/a</t>
        </is>
      </c>
      <c r="J43" s="30" t="inlineStr"/>
      <c r="K43" s="30" t="inlineStr"/>
      <c r="L43" s="30" t="inlineStr"/>
      <c r="M43" s="30" t="inlineStr"/>
      <c r="N43" s="30" t="inlineStr">
        <is>
          <t>n/a</t>
        </is>
      </c>
      <c r="O43" s="30" t="inlineStr"/>
      <c r="P43" s="30" t="inlineStr"/>
      <c r="Q43" s="9" t="inlineStr"/>
      <c r="R43" s="9" t="inlineStr"/>
      <c r="S43" s="10" t="inlineStr"/>
    </row>
    <row r="44">
      <c r="A44" s="16" t="n">
        <v>26</v>
      </c>
      <c r="B44" s="14" t="inlineStr">
        <is>
          <t>CM-MGT-05</t>
        </is>
      </c>
      <c r="C44" s="15" t="inlineStr">
        <is>
          <t>SDG_SDGroup_Performance_Review_Appraisal_Handbook_L4-L5_V1.0.pdf</t>
        </is>
      </c>
      <c r="D44" s="15" t="inlineStr">
        <is>
          <t>SD Academy/09_Leadership_Management</t>
        </is>
      </c>
      <c r="E44" s="14" t="inlineStr">
        <is>
          <t>SDA-CRS-CM-MGT-05</t>
        </is>
      </c>
      <c r="F44" s="15" t="inlineStr">
        <is>
          <t>Common SD Group | Leadership &amp; Management | L4-L5</t>
        </is>
      </c>
      <c r="G44" s="11" t="inlineStr">
        <is>
          <t>No</t>
        </is>
      </c>
      <c r="H44" s="11" t="inlineStr">
        <is>
          <t>Yes</t>
        </is>
      </c>
      <c r="I44" s="12" t="inlineStr">
        <is>
          <t>REQUIRED</t>
        </is>
      </c>
      <c r="J44" s="30" t="inlineStr"/>
      <c r="K44" s="30" t="inlineStr"/>
      <c r="L44" s="30" t="inlineStr"/>
      <c r="M44" s="30" t="inlineStr"/>
      <c r="N44" s="30" t="inlineStr">
        <is>
          <t>n/a</t>
        </is>
      </c>
      <c r="O44" s="30" t="inlineStr"/>
      <c r="P44" s="30" t="inlineStr"/>
      <c r="Q44" s="9" t="inlineStr"/>
      <c r="R44" s="9" t="inlineStr"/>
      <c r="S44" s="10" t="inlineStr"/>
    </row>
    <row r="45">
      <c r="A45" s="11" t="n">
        <v>27</v>
      </c>
      <c r="B45" s="9" t="inlineStr">
        <is>
          <t>CM-MGT-06</t>
        </is>
      </c>
      <c r="C45" s="10" t="inlineStr">
        <is>
          <t>SDG_SDGroup_Delegation_of_Authority_Approval_Matrix_Handbook_L4-L5_V1.0.pdf</t>
        </is>
      </c>
      <c r="D45" s="10" t="inlineStr">
        <is>
          <t>SD Academy/09_Leadership_Management</t>
        </is>
      </c>
      <c r="E45" s="9" t="inlineStr">
        <is>
          <t>SDA-CRS-CM-MGT-06</t>
        </is>
      </c>
      <c r="F45" s="10" t="inlineStr">
        <is>
          <t>Common SD Group | Leadership &amp; Management | L4-L5</t>
        </is>
      </c>
      <c r="G45" s="11" t="inlineStr">
        <is>
          <t>No</t>
        </is>
      </c>
      <c r="H45" s="11" t="inlineStr">
        <is>
          <t>Yes</t>
        </is>
      </c>
      <c r="I45" s="11" t="inlineStr">
        <is>
          <t>n/a</t>
        </is>
      </c>
      <c r="J45" s="30" t="inlineStr"/>
      <c r="K45" s="30" t="inlineStr"/>
      <c r="L45" s="30" t="inlineStr"/>
      <c r="M45" s="30" t="inlineStr"/>
      <c r="N45" s="30" t="inlineStr">
        <is>
          <t>n/a</t>
        </is>
      </c>
      <c r="O45" s="30" t="inlineStr"/>
      <c r="P45" s="30" t="inlineStr"/>
      <c r="Q45" s="9" t="inlineStr"/>
      <c r="R45" s="9" t="inlineStr"/>
      <c r="S45" s="10" t="inlineStr"/>
    </row>
    <row r="46">
      <c r="A46" s="16" t="n">
        <v>28</v>
      </c>
      <c r="B46" s="14" t="inlineStr">
        <is>
          <t>CM-MGT-07</t>
        </is>
      </c>
      <c r="C46" s="15" t="inlineStr">
        <is>
          <t>SDG_SDGroup_Business_Target_Review_Handbook_L4-L5_V1.0.pdf</t>
        </is>
      </c>
      <c r="D46" s="15" t="inlineStr">
        <is>
          <t>SD Academy/09_Leadership_Management</t>
        </is>
      </c>
      <c r="E46" s="14" t="inlineStr">
        <is>
          <t>SDA-CRS-CM-MGT-07</t>
        </is>
      </c>
      <c r="F46" s="15" t="inlineStr">
        <is>
          <t>Common SD Group | Leadership &amp; Management | L4-L5</t>
        </is>
      </c>
      <c r="G46" s="11" t="inlineStr">
        <is>
          <t>No</t>
        </is>
      </c>
      <c r="H46" s="11" t="inlineStr">
        <is>
          <t>Yes</t>
        </is>
      </c>
      <c r="I46" s="11" t="inlineStr">
        <is>
          <t>n/a</t>
        </is>
      </c>
      <c r="J46" s="30" t="inlineStr"/>
      <c r="K46" s="30" t="inlineStr"/>
      <c r="L46" s="30" t="inlineStr"/>
      <c r="M46" s="30" t="inlineStr"/>
      <c r="N46" s="30" t="inlineStr">
        <is>
          <t>n/a</t>
        </is>
      </c>
      <c r="O46" s="30" t="inlineStr"/>
      <c r="P46" s="30" t="inlineStr"/>
      <c r="Q46" s="9" t="inlineStr"/>
      <c r="R46" s="9" t="inlineStr"/>
      <c r="S46" s="10" t="inlineStr"/>
    </row>
    <row r="47">
      <c r="A47" s="11" t="n">
        <v>29</v>
      </c>
      <c r="B47" s="9" t="inlineStr">
        <is>
          <t>CM-MGT-08</t>
        </is>
      </c>
      <c r="C47" s="10" t="inlineStr">
        <is>
          <t>SDG_SDGroup_Risk_and_Corrective_Action_Handbook_L4-L5_V1.0.pdf</t>
        </is>
      </c>
      <c r="D47" s="10" t="inlineStr">
        <is>
          <t>SD Academy/09_Leadership_Management</t>
        </is>
      </c>
      <c r="E47" s="9" t="inlineStr">
        <is>
          <t>SDA-CRS-CM-MGT-08</t>
        </is>
      </c>
      <c r="F47" s="10" t="inlineStr">
        <is>
          <t>Common SD Group | Leadership &amp; Management | L4-L5</t>
        </is>
      </c>
      <c r="G47" s="11" t="inlineStr">
        <is>
          <t>No</t>
        </is>
      </c>
      <c r="H47" s="11" t="inlineStr">
        <is>
          <t>Yes</t>
        </is>
      </c>
      <c r="I47" s="11" t="inlineStr">
        <is>
          <t>n/a</t>
        </is>
      </c>
      <c r="J47" s="30" t="inlineStr"/>
      <c r="K47" s="30" t="inlineStr"/>
      <c r="L47" s="30" t="inlineStr"/>
      <c r="M47" s="30" t="inlineStr"/>
      <c r="N47" s="30" t="inlineStr">
        <is>
          <t>n/a</t>
        </is>
      </c>
      <c r="O47" s="30" t="inlineStr"/>
      <c r="P47" s="30" t="inlineStr"/>
      <c r="Q47" s="9" t="inlineStr"/>
      <c r="R47" s="9" t="inlineStr"/>
      <c r="S47" s="10" t="inlineStr"/>
    </row>
    <row r="48">
      <c r="A48" s="16" t="n">
        <v>30</v>
      </c>
      <c r="B48" s="14" t="inlineStr">
        <is>
          <t>CM-MGT-09</t>
        </is>
      </c>
      <c r="C48" s="15" t="inlineStr">
        <is>
          <t>SDG_SDGroup_Internal_Audit_and_Compliance_Review_Handbook_L4-L5_V1.0.pdf</t>
        </is>
      </c>
      <c r="D48" s="15" t="inlineStr">
        <is>
          <t>SD Academy/09_Leadership_Management</t>
        </is>
      </c>
      <c r="E48" s="14" t="inlineStr">
        <is>
          <t>SDA-CRS-CM-MGT-09</t>
        </is>
      </c>
      <c r="F48" s="15" t="inlineStr">
        <is>
          <t>Common SD Group | Leadership &amp; Management | L4-L5</t>
        </is>
      </c>
      <c r="G48" s="31" t="inlineStr">
        <is>
          <t>Yes</t>
        </is>
      </c>
      <c r="H48" s="11" t="inlineStr">
        <is>
          <t>Yes</t>
        </is>
      </c>
      <c r="I48" s="11" t="inlineStr">
        <is>
          <t>n/a</t>
        </is>
      </c>
      <c r="J48" s="30" t="inlineStr"/>
      <c r="K48" s="30" t="inlineStr"/>
      <c r="L48" s="30" t="inlineStr"/>
      <c r="M48" s="30" t="inlineStr"/>
      <c r="N48" s="30" t="inlineStr"/>
      <c r="O48" s="30" t="inlineStr"/>
      <c r="P48" s="30" t="inlineStr"/>
      <c r="Q48" s="9" t="inlineStr"/>
      <c r="R48" s="9" t="inlineStr"/>
      <c r="S48" s="10" t="inlineStr"/>
    </row>
    <row r="50">
      <c r="A50" s="4" t="inlineStr">
        <is>
          <t>C. SIGN-OFF</t>
        </is>
      </c>
    </row>
    <row r="51">
      <c r="A51" s="5" t="inlineStr">
        <is>
          <t>Role</t>
        </is>
      </c>
      <c r="B51" s="5" t="inlineStr">
        <is>
          <t>Name</t>
        </is>
      </c>
      <c r="C51" s="5" t="inlineStr">
        <is>
          <t>Signature / Digital Confirmation</t>
        </is>
      </c>
      <c r="D51" s="5" t="inlineStr">
        <is>
          <t>Date</t>
        </is>
      </c>
    </row>
    <row r="52">
      <c r="A52" s="32" t="inlineStr">
        <is>
          <t>Portal Admin (upload complete)</t>
        </is>
      </c>
      <c r="B52" s="33" t="n"/>
      <c r="C52" s="33" t="n"/>
      <c r="D52" s="33" t="n"/>
    </row>
    <row r="53">
      <c r="A53" s="32" t="inlineStr">
        <is>
          <t>Group HR (access tags verified)</t>
        </is>
      </c>
      <c r="B53" s="33" t="n"/>
      <c r="C53" s="33" t="n"/>
      <c r="D53" s="33" t="n"/>
    </row>
    <row r="54">
      <c r="A54" s="32" t="inlineStr">
        <is>
          <t>Company Head (release approved)</t>
        </is>
      </c>
      <c r="B54" s="33" t="n"/>
      <c r="C54" s="33" t="n"/>
      <c r="D54" s="33" t="n"/>
    </row>
  </sheetData>
  <autoFilter ref="A18:S48"/>
  <dataValidations count="2">
    <dataValidation sqref="J19:P48" showDropDown="0" showInputMessage="0" showErrorMessage="0" allowBlank="1" type="list">
      <formula1>"Done,Pending,N/A"</formula1>
    </dataValidation>
    <dataValidation sqref="I19:I48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Common SD Group</t>
        </is>
      </c>
      <c r="D6" s="25" t="inlineStr">
        <is>
          <t>Common SD Group register separated from SDG_Handbook_Master_Register_v3.1 into a standalone workbook covering 30 books. All 30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2026-08-05T17:00:02Z</dcterms:created>
  <dcterms:modified xmlns:dcterms="http://purl.org/dc/terms/" xmlns:xsi="http://www.w3.org/2001/XMLSchema-instance" xsi:type="dcterms:W3CDTF">2026-08-05T17:00:02Z</dcterms:modified>
</cp:coreProperties>
</file>